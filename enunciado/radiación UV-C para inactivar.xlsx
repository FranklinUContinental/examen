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urso de maestria metodos estadisticos para la investigacion\Presentacion\Clase 4\"/>
    </mc:Choice>
  </mc:AlternateContent>
  <xr:revisionPtr revIDLastSave="0" documentId="13_ncr:1_{19E99637-8310-45BC-BC78-F6117CA758BA}" xr6:coauthVersionLast="47" xr6:coauthVersionMax="47" xr10:uidLastSave="{00000000-0000-0000-0000-000000000000}"/>
  <bookViews>
    <workbookView xWindow="-120" yWindow="-120" windowWidth="20730" windowHeight="11040" activeTab="3" xr2:uid="{E97C52FE-4A00-466C-B886-36825E6341E0}"/>
  </bookViews>
  <sheets>
    <sheet name="Recuento E. coli" sheetId="6" r:id="rId1"/>
    <sheet name="Recuento Salmonella" sheetId="7" r:id="rId2"/>
    <sheet name="Hoja8" sheetId="8" r:id="rId3"/>
    <sheet name="Resultados de Inactivacion" sheetId="11" r:id="rId4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7" l="1"/>
  <c r="E33" i="7"/>
  <c r="C33" i="7"/>
  <c r="E21" i="11"/>
  <c r="F21" i="11" s="1"/>
  <c r="E20" i="11"/>
  <c r="F20" i="11" s="1"/>
  <c r="E19" i="11"/>
  <c r="F19" i="11" s="1"/>
  <c r="E27" i="11"/>
  <c r="F27" i="11" s="1"/>
  <c r="E26" i="11"/>
  <c r="F26" i="11" s="1"/>
  <c r="E25" i="11"/>
  <c r="F25" i="11" s="1"/>
  <c r="E24" i="11"/>
  <c r="F24" i="11" s="1"/>
  <c r="E23" i="11"/>
  <c r="F23" i="11" s="1"/>
  <c r="E22" i="11"/>
  <c r="F22" i="11" s="1"/>
  <c r="E6" i="11"/>
  <c r="E7" i="11"/>
  <c r="E8" i="11"/>
  <c r="E9" i="11"/>
  <c r="E10" i="11"/>
  <c r="E11" i="11"/>
  <c r="E12" i="11"/>
  <c r="E13" i="11"/>
  <c r="E5" i="11"/>
  <c r="F4" i="11"/>
  <c r="F8" i="11" s="1"/>
  <c r="C18" i="8"/>
  <c r="B16" i="8"/>
  <c r="H28" i="8"/>
  <c r="H29" i="8"/>
  <c r="H24" i="8"/>
  <c r="H25" i="8"/>
  <c r="G30" i="8"/>
  <c r="H30" i="8" s="1"/>
  <c r="G29" i="8"/>
  <c r="G28" i="8"/>
  <c r="G27" i="8"/>
  <c r="H27" i="8" s="1"/>
  <c r="G26" i="8"/>
  <c r="H26" i="8" s="1"/>
  <c r="G25" i="8"/>
  <c r="G24" i="8"/>
  <c r="G23" i="8"/>
  <c r="H23" i="8" s="1"/>
  <c r="G22" i="8"/>
  <c r="H22" i="8" s="1"/>
  <c r="G21" i="8"/>
  <c r="F7" i="11" l="1"/>
  <c r="F13" i="11"/>
  <c r="F9" i="11"/>
  <c r="F11" i="11"/>
  <c r="F5" i="11"/>
  <c r="F10" i="11"/>
  <c r="F6" i="11"/>
  <c r="F12" i="11"/>
  <c r="E19" i="6"/>
  <c r="D19" i="6"/>
  <c r="C19" i="6"/>
  <c r="G12" i="8"/>
  <c r="G11" i="8"/>
  <c r="G10" i="8"/>
  <c r="G9" i="8"/>
  <c r="H9" i="8" s="1"/>
  <c r="G8" i="8"/>
  <c r="G7" i="8"/>
  <c r="G6" i="8"/>
  <c r="G5" i="8"/>
  <c r="H5" i="8" s="1"/>
  <c r="G4" i="8"/>
  <c r="G3" i="8"/>
  <c r="F57" i="6"/>
  <c r="L57" i="6"/>
  <c r="K57" i="6"/>
  <c r="J57" i="6"/>
  <c r="I57" i="6"/>
  <c r="H57" i="6"/>
  <c r="G57" i="6"/>
  <c r="E57" i="6"/>
  <c r="D57" i="6"/>
  <c r="C57" i="6"/>
  <c r="J59" i="7"/>
  <c r="L59" i="7"/>
  <c r="K59" i="7"/>
  <c r="I59" i="7"/>
  <c r="H59" i="7"/>
  <c r="G59" i="7"/>
  <c r="F59" i="7"/>
  <c r="E59" i="7"/>
  <c r="D59" i="7"/>
  <c r="C59" i="7"/>
  <c r="C46" i="7"/>
  <c r="C7" i="6"/>
  <c r="C7" i="7"/>
  <c r="E46" i="7"/>
  <c r="D46" i="7"/>
  <c r="E21" i="7"/>
  <c r="D21" i="7"/>
  <c r="C21" i="7"/>
  <c r="E44" i="6"/>
  <c r="D44" i="6"/>
  <c r="C44" i="6"/>
  <c r="E31" i="6"/>
  <c r="D31" i="6"/>
  <c r="C31" i="6"/>
  <c r="H6" i="8" l="1"/>
  <c r="H10" i="8"/>
  <c r="H7" i="8"/>
  <c r="H11" i="8"/>
  <c r="H4" i="8"/>
  <c r="H17" i="8"/>
  <c r="E17" i="8" s="1"/>
  <c r="H8" i="8"/>
  <c r="H12" i="8"/>
</calcChain>
</file>

<file path=xl/sharedStrings.xml><?xml version="1.0" encoding="utf-8"?>
<sst xmlns="http://schemas.openxmlformats.org/spreadsheetml/2006/main" count="188" uniqueCount="52">
  <si>
    <t>ENSAYO</t>
  </si>
  <si>
    <t>M1</t>
  </si>
  <si>
    <t>M2</t>
  </si>
  <si>
    <t>M3</t>
  </si>
  <si>
    <t>M4</t>
  </si>
  <si>
    <t>PROMEDIO</t>
  </si>
  <si>
    <t>Promedio</t>
  </si>
  <si>
    <t>T(0)-H(0)</t>
  </si>
  <si>
    <t>T1(1min.)-H1(5cm)</t>
  </si>
  <si>
    <t>T2(3min.)-H2(10cm)</t>
  </si>
  <si>
    <t>T3(5min)-H2(20cm)</t>
  </si>
  <si>
    <t>T2(3min.)-H1(5cm)</t>
  </si>
  <si>
    <t>T2(3min)-H2(20cm)</t>
  </si>
  <si>
    <t>T3(5min.)-H1(5cm)</t>
  </si>
  <si>
    <t>T3(5min.)-H2(10cm)</t>
  </si>
  <si>
    <t>T1(1min.)-H2(10cm)</t>
  </si>
  <si>
    <t>T1(1min)-H2(20cm)</t>
  </si>
  <si>
    <t>% Reducción</t>
  </si>
  <si>
    <t>Tratamiento</t>
  </si>
  <si>
    <t>Tratatamiento</t>
  </si>
  <si>
    <t>% Reduccion</t>
  </si>
  <si>
    <t>T1(1min.)</t>
  </si>
  <si>
    <t>T2(3min.)</t>
  </si>
  <si>
    <t>T3(5min.)</t>
  </si>
  <si>
    <t>H1(5cm)</t>
  </si>
  <si>
    <t>H2(10cm)</t>
  </si>
  <si>
    <t>H2(20cm)</t>
  </si>
  <si>
    <t>Control</t>
  </si>
  <si>
    <r>
      <t>2.4x10</t>
    </r>
    <r>
      <rPr>
        <vertAlign val="superscript"/>
        <sz val="12"/>
        <color rgb="FF000000"/>
        <rFont val="Times New Roman"/>
        <family val="1"/>
      </rPr>
      <t>7</t>
    </r>
  </si>
  <si>
    <r>
      <t>1.2x10</t>
    </r>
    <r>
      <rPr>
        <vertAlign val="superscript"/>
        <sz val="12"/>
        <color rgb="FF000000"/>
        <rFont val="Times New Roman"/>
        <family val="1"/>
      </rPr>
      <t>4</t>
    </r>
  </si>
  <si>
    <r>
      <t>1.6x10</t>
    </r>
    <r>
      <rPr>
        <vertAlign val="superscript"/>
        <sz val="12"/>
        <color rgb="FF000000"/>
        <rFont val="Times New Roman"/>
        <family val="1"/>
      </rPr>
      <t>4</t>
    </r>
  </si>
  <si>
    <r>
      <t>1.9x10</t>
    </r>
    <r>
      <rPr>
        <vertAlign val="superscript"/>
        <sz val="12"/>
        <color rgb="FF000000"/>
        <rFont val="Times New Roman"/>
        <family val="1"/>
      </rPr>
      <t>4</t>
    </r>
  </si>
  <si>
    <r>
      <t>1.1x10</t>
    </r>
    <r>
      <rPr>
        <vertAlign val="superscript"/>
        <sz val="12"/>
        <color rgb="FF000000"/>
        <rFont val="Times New Roman"/>
        <family val="1"/>
      </rPr>
      <t>4</t>
    </r>
  </si>
  <si>
    <r>
      <t>0.6x10</t>
    </r>
    <r>
      <rPr>
        <vertAlign val="superscript"/>
        <sz val="12"/>
        <color rgb="FF000000"/>
        <rFont val="Times New Roman"/>
        <family val="1"/>
      </rPr>
      <t>4</t>
    </r>
  </si>
  <si>
    <r>
      <t>1.5x10</t>
    </r>
    <r>
      <rPr>
        <vertAlign val="superscript"/>
        <sz val="12"/>
        <color rgb="FF000000"/>
        <rFont val="Times New Roman"/>
        <family val="1"/>
      </rPr>
      <t>4</t>
    </r>
  </si>
  <si>
    <r>
      <t>1.7x10</t>
    </r>
    <r>
      <rPr>
        <vertAlign val="superscript"/>
        <sz val="12"/>
        <color rgb="FF000000"/>
        <rFont val="Times New Roman"/>
        <family val="1"/>
      </rPr>
      <t>4</t>
    </r>
  </si>
  <si>
    <r>
      <t>1.3x10</t>
    </r>
    <r>
      <rPr>
        <vertAlign val="superscript"/>
        <sz val="12"/>
        <color rgb="FF000000"/>
        <rFont val="Times New Roman"/>
        <family val="1"/>
      </rPr>
      <t>4</t>
    </r>
  </si>
  <si>
    <t>Promedio de recuento de microorganismos en placa petri</t>
  </si>
  <si>
    <t xml:space="preserve">% de Cantidad de patogenos alimentarios </t>
  </si>
  <si>
    <t>% de Inactivacion</t>
  </si>
  <si>
    <t xml:space="preserve">Promedio UFC/g </t>
  </si>
  <si>
    <t>Promedio de recuento de microorganismos en placa Petri</t>
  </si>
  <si>
    <t xml:space="preserve">% de Cantidad de patógenos alimentarios </t>
  </si>
  <si>
    <t>% de Inactivación</t>
  </si>
  <si>
    <r>
      <t>2.3x10</t>
    </r>
    <r>
      <rPr>
        <vertAlign val="superscript"/>
        <sz val="12"/>
        <color rgb="FF000000"/>
        <rFont val="Times New Roman"/>
        <family val="1"/>
      </rPr>
      <t>7</t>
    </r>
  </si>
  <si>
    <r>
      <t>1.0x10</t>
    </r>
    <r>
      <rPr>
        <vertAlign val="superscript"/>
        <sz val="12"/>
        <color rgb="FF000000"/>
        <rFont val="Times New Roman"/>
        <family val="1"/>
      </rPr>
      <t>4</t>
    </r>
  </si>
  <si>
    <r>
      <t>0.7x10</t>
    </r>
    <r>
      <rPr>
        <vertAlign val="superscript"/>
        <sz val="12"/>
        <color rgb="FF000000"/>
        <rFont val="Times New Roman"/>
        <family val="1"/>
      </rPr>
      <t>4</t>
    </r>
  </si>
  <si>
    <r>
      <t>1.4x10</t>
    </r>
    <r>
      <rPr>
        <vertAlign val="superscript"/>
        <sz val="12"/>
        <color rgb="FF000000"/>
        <rFont val="Times New Roman"/>
        <family val="1"/>
      </rPr>
      <t>4</t>
    </r>
  </si>
  <si>
    <t>Resultados de inactivacion de E.coli (Intensidad de radiacion UVC 0.654 ± 0.04 J/cm*2 )</t>
  </si>
  <si>
    <t>Resultados de inactivacion de Salmonella (Intensidad de radiacion UVC 0.654 ± 0.04 J/cm*2 )</t>
  </si>
  <si>
    <t>Salmonella</t>
  </si>
  <si>
    <t>E.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</si>
</sst>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0" fillId="0" borderId="0" xfId="0" applyNumberFormat="1"/>
    <xf numFmtId="0" fontId="3" fillId="0" borderId="3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2" fontId="7" fillId="0" borderId="5" xfId="1" applyNumberFormat="1" applyFont="1" applyFill="1" applyBorder="1" applyAlignment="1">
      <alignment horizontal="center" vertical="center" wrapText="1"/>
    </xf>
    <xf numFmtId="2" fontId="9" fillId="0" borderId="5" xfId="1" applyNumberFormat="1" applyFont="1" applyBorder="1"/>
    <xf numFmtId="2" fontId="0" fillId="0" borderId="0" xfId="1" applyNumberFormat="1" applyFont="1"/>
    <xf numFmtId="2" fontId="8" fillId="0" borderId="5" xfId="1" applyNumberFormat="1" applyFont="1" applyFill="1" applyBorder="1" applyAlignment="1">
      <alignment horizontal="center" vertical="center" wrapText="1"/>
    </xf>
    <xf numFmtId="2" fontId="0" fillId="0" borderId="5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9" fontId="0" fillId="0" borderId="0" xfId="0" applyNumberFormat="1"/>
    <xf numFmtId="2" fontId="0" fillId="0" borderId="0" xfId="0" applyNumberFormat="1"/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0" fontId="8" fillId="0" borderId="5" xfId="1" applyNumberFormat="1" applyFont="1" applyBorder="1" applyAlignment="1">
      <alignment horizontal="center" vertical="center"/>
    </xf>
    <xf numFmtId="10" fontId="11" fillId="0" borderId="14" xfId="0" applyNumberFormat="1" applyFont="1" applyBorder="1" applyAlignment="1">
      <alignment horizontal="center" vertical="center"/>
    </xf>
    <xf numFmtId="9" fontId="8" fillId="0" borderId="5" xfId="1" applyFont="1" applyBorder="1" applyAlignment="1">
      <alignment horizontal="center" vertical="center"/>
    </xf>
    <xf numFmtId="10" fontId="8" fillId="0" borderId="7" xfId="1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coli'!$B$15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E. coli'!$C$14:$E$14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coli'!$C$15:$E$15</c:f>
              <c:numCache>
                <c:formatCode>0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D2E-812D-AEA331BC39B3}"/>
            </c:ext>
          </c:extLst>
        </c:ser>
        <c:ser>
          <c:idx val="1"/>
          <c:order val="1"/>
          <c:tx>
            <c:strRef>
              <c:f>'Recuento E. coli'!$B$16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E. coli'!$C$14:$E$14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coli'!$C$16:$E$16</c:f>
              <c:numCache>
                <c:formatCode>0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3-4D2E-812D-AEA331BC39B3}"/>
            </c:ext>
          </c:extLst>
        </c:ser>
        <c:ser>
          <c:idx val="2"/>
          <c:order val="2"/>
          <c:tx>
            <c:strRef>
              <c:f>'Recuento E. coli'!$B$17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E. coli'!$C$14:$E$14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coli'!$C$17:$E$17</c:f>
              <c:numCache>
                <c:formatCode>0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3-4D2E-812D-AEA331BC39B3}"/>
            </c:ext>
          </c:extLst>
        </c:ser>
        <c:ser>
          <c:idx val="3"/>
          <c:order val="3"/>
          <c:tx>
            <c:strRef>
              <c:f>'Recuento E. coli'!$B$18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E. coli'!$C$14:$E$14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coli'!$C$18:$E$18</c:f>
              <c:numCache>
                <c:formatCode>0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13-4D2E-812D-AEA331BC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E. coli'!$B$19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E. coli'!$C$14:$E$14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coli'!$C$19:$E$19</c:f>
              <c:numCache>
                <c:formatCode>0</c:formatCode>
                <c:ptCount val="3"/>
                <c:pt idx="0">
                  <c:v>9.5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13-4D2E-812D-AEA331BC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Recuento</a:t>
                </a:r>
                <a:r>
                  <a:rPr lang="es-PE" baseline="0"/>
                  <a:t> en placa de E. coli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coli'!$B$27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E. coli'!$C$26:$E$26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coli'!$C$27:$E$27</c:f>
              <c:numCache>
                <c:formatCode>0</c:formatCode>
                <c:ptCount val="3"/>
                <c:pt idx="0">
                  <c:v>12</c:v>
                </c:pt>
                <c:pt idx="1">
                  <c:v>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2-487A-A95B-AF72FE87A1FA}"/>
            </c:ext>
          </c:extLst>
        </c:ser>
        <c:ser>
          <c:idx val="1"/>
          <c:order val="1"/>
          <c:tx>
            <c:strRef>
              <c:f>'Recuento E. coli'!$B$28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E. coli'!$C$26:$E$26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coli'!$C$28:$E$28</c:f>
              <c:numCache>
                <c:formatCode>0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2-487A-A95B-AF72FE87A1FA}"/>
            </c:ext>
          </c:extLst>
        </c:ser>
        <c:ser>
          <c:idx val="2"/>
          <c:order val="2"/>
          <c:tx>
            <c:strRef>
              <c:f>'Recuento E. coli'!$B$29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E. coli'!$C$26:$E$26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coli'!$C$29:$E$29</c:f>
              <c:numCache>
                <c:formatCode>0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2-487A-A95B-AF72FE87A1FA}"/>
            </c:ext>
          </c:extLst>
        </c:ser>
        <c:ser>
          <c:idx val="3"/>
          <c:order val="3"/>
          <c:tx>
            <c:strRef>
              <c:f>'Recuento E. coli'!$B$30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E. coli'!$C$26:$E$26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coli'!$C$30:$E$30</c:f>
              <c:numCache>
                <c:formatCode>0</c:formatCode>
                <c:ptCount val="3"/>
                <c:pt idx="0">
                  <c:v>11</c:v>
                </c:pt>
                <c:pt idx="1">
                  <c:v>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4-450D-95AC-4FDE6DED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E. coli'!$B$31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E. coli'!$C$26:$E$26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coli'!$C$31:$E$31</c:f>
              <c:numCache>
                <c:formatCode>0</c:formatCode>
                <c:ptCount val="3"/>
                <c:pt idx="0">
                  <c:v>11.75</c:v>
                </c:pt>
                <c:pt idx="1">
                  <c:v>6.75</c:v>
                </c:pt>
                <c:pt idx="2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4-450D-95AC-4FDE6DED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Recuento</a:t>
                </a:r>
                <a:r>
                  <a:rPr lang="es-PE" baseline="0"/>
                  <a:t> en placa de E. coli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coli'!$B$40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E. coli'!$C$39:$E$39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coli'!$C$40:$E$40</c:f>
              <c:numCache>
                <c:formatCode>0</c:formatCode>
                <c:ptCount val="3"/>
                <c:pt idx="0">
                  <c:v>17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E-4A27-A593-1F3480B73D31}"/>
            </c:ext>
          </c:extLst>
        </c:ser>
        <c:ser>
          <c:idx val="1"/>
          <c:order val="1"/>
          <c:tx>
            <c:strRef>
              <c:f>'Recuento E. coli'!$B$41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E. coli'!$C$39:$E$39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coli'!$C$41:$E$41</c:f>
              <c:numCache>
                <c:formatCode>0</c:formatCode>
                <c:ptCount val="3"/>
                <c:pt idx="0">
                  <c:v>18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E-4A27-A593-1F3480B73D31}"/>
            </c:ext>
          </c:extLst>
        </c:ser>
        <c:ser>
          <c:idx val="2"/>
          <c:order val="2"/>
          <c:tx>
            <c:strRef>
              <c:f>'Recuento E. coli'!$B$42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E. coli'!$C$39:$E$39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coli'!$C$42:$E$42</c:f>
              <c:numCache>
                <c:formatCode>0</c:formatCode>
                <c:ptCount val="3"/>
                <c:pt idx="0">
                  <c:v>16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E-4A27-A593-1F3480B73D31}"/>
            </c:ext>
          </c:extLst>
        </c:ser>
        <c:ser>
          <c:idx val="3"/>
          <c:order val="3"/>
          <c:tx>
            <c:strRef>
              <c:f>'Recuento E. coli'!$B$43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E. coli'!$C$39:$E$39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coli'!$C$43:$E$43</c:f>
              <c:numCache>
                <c:formatCode>0</c:formatCode>
                <c:ptCount val="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E-4A27-A593-1F3480B73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E. coli'!$B$44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E. coli'!$C$39:$E$39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E. coli'!$C$44:$E$44</c:f>
              <c:numCache>
                <c:formatCode>0</c:formatCode>
                <c:ptCount val="3"/>
                <c:pt idx="0">
                  <c:v>16.5</c:v>
                </c:pt>
                <c:pt idx="1">
                  <c:v>13.5</c:v>
                </c:pt>
                <c:pt idx="2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6E-4A27-A593-1F3480B73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Recuento</a:t>
                </a:r>
                <a:r>
                  <a:rPr lang="es-PE" baseline="0"/>
                  <a:t> en placa de E. coli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coli'!$B$3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coli'!$C$3</c:f>
              <c:numCache>
                <c:formatCode>0</c:formatCode>
                <c:ptCount val="1"/>
                <c:pt idx="0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2-4843-86AF-8B2A06A765F5}"/>
            </c:ext>
          </c:extLst>
        </c:ser>
        <c:ser>
          <c:idx val="1"/>
          <c:order val="1"/>
          <c:tx>
            <c:strRef>
              <c:f>'Recuento E. coli'!$B$4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coli'!$C$4</c:f>
              <c:numCache>
                <c:formatCode>0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2-4843-86AF-8B2A06A765F5}"/>
            </c:ext>
          </c:extLst>
        </c:ser>
        <c:ser>
          <c:idx val="2"/>
          <c:order val="2"/>
          <c:tx>
            <c:strRef>
              <c:f>'Recuento E. coli'!$B$5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coli'!$C$5</c:f>
              <c:numCache>
                <c:formatCode>0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2-4843-86AF-8B2A06A765F5}"/>
            </c:ext>
          </c:extLst>
        </c:ser>
        <c:ser>
          <c:idx val="3"/>
          <c:order val="3"/>
          <c:tx>
            <c:strRef>
              <c:f>'Recuento E. coli'!$B$6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coli'!$C$6</c:f>
              <c:numCache>
                <c:formatCode>0</c:formatCode>
                <c:ptCount val="1"/>
                <c:pt idx="0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02-4843-86AF-8B2A06A765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2495216"/>
        <c:axId val="22251144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'Recuento E. coli'!$B$7</c15:sqref>
                        </c15:formulaRef>
                      </c:ext>
                    </c:extLst>
                    <c:strCache>
                      <c:ptCount val="1"/>
                      <c:pt idx="0">
                        <c:v>PROMEDIO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'Recuento E. coli'!$C$2</c15:sqref>
                        </c15:formulaRef>
                      </c:ext>
                    </c:extLst>
                    <c:strCache>
                      <c:ptCount val="1"/>
                      <c:pt idx="0">
                        <c:v>T(0)-H(0)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'Recuento E. coli'!$C$7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235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E02-4843-86AF-8B2A06A765F5}"/>
                  </c:ext>
                </c:extLst>
              </c15:ser>
            </c15:filteredBarSeries>
          </c:ext>
        </c:extLst>
      </c:bar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Recuento</a:t>
                </a:r>
                <a:r>
                  <a:rPr lang="es-PE" baseline="0"/>
                  <a:t> en placa de E. coli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coli'!$B$53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E. coli'!$C$52:$L$52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E. coli'!$C$53:$L$53</c:f>
              <c:numCache>
                <c:formatCode>0</c:formatCode>
                <c:ptCount val="10"/>
                <c:pt idx="0">
                  <c:v>225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12</c:v>
                </c:pt>
                <c:pt idx="5">
                  <c:v>6</c:v>
                </c:pt>
                <c:pt idx="6">
                  <c:v>14</c:v>
                </c:pt>
                <c:pt idx="7">
                  <c:v>17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2-4784-BC95-1DBAFA9B5C50}"/>
            </c:ext>
          </c:extLst>
        </c:ser>
        <c:ser>
          <c:idx val="1"/>
          <c:order val="1"/>
          <c:tx>
            <c:strRef>
              <c:f>'Recuento E. coli'!$B$54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E. coli'!$C$52:$L$52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E. coli'!$C$54:$L$54</c:f>
              <c:numCache>
                <c:formatCode>0</c:formatCode>
                <c:ptCount val="10"/>
                <c:pt idx="0">
                  <c:v>240</c:v>
                </c:pt>
                <c:pt idx="1">
                  <c:v>8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  <c:pt idx="5">
                  <c:v>8</c:v>
                </c:pt>
                <c:pt idx="6">
                  <c:v>12</c:v>
                </c:pt>
                <c:pt idx="7">
                  <c:v>18</c:v>
                </c:pt>
                <c:pt idx="8">
                  <c:v>12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2-4784-BC95-1DBAFA9B5C50}"/>
            </c:ext>
          </c:extLst>
        </c:ser>
        <c:ser>
          <c:idx val="2"/>
          <c:order val="2"/>
          <c:tx>
            <c:strRef>
              <c:f>'Recuento E. coli'!$B$55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E. coli'!$C$52:$L$52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E. coli'!$C$55:$L$55</c:f>
              <c:numCache>
                <c:formatCode>0</c:formatCode>
                <c:ptCount val="10"/>
                <c:pt idx="0">
                  <c:v>245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7</c:v>
                </c:pt>
                <c:pt idx="6">
                  <c:v>13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2-4784-BC95-1DBAFA9B5C50}"/>
            </c:ext>
          </c:extLst>
        </c:ser>
        <c:ser>
          <c:idx val="3"/>
          <c:order val="3"/>
          <c:tx>
            <c:strRef>
              <c:f>'Recuento E. coli'!$B$56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E. coli'!$C$52:$L$52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E. coli'!$C$56:$L$56</c:f>
              <c:numCache>
                <c:formatCode>0</c:formatCode>
                <c:ptCount val="10"/>
                <c:pt idx="0">
                  <c:v>230</c:v>
                </c:pt>
                <c:pt idx="1">
                  <c:v>11</c:v>
                </c:pt>
                <c:pt idx="2">
                  <c:v>11</c:v>
                </c:pt>
                <c:pt idx="3">
                  <c:v>15</c:v>
                </c:pt>
                <c:pt idx="4">
                  <c:v>11</c:v>
                </c:pt>
                <c:pt idx="5">
                  <c:v>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52-4784-BC95-1DBAFA9B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794432"/>
        <c:axId val="499782784"/>
      </c:barChart>
      <c:lineChart>
        <c:grouping val="standard"/>
        <c:varyColors val="0"/>
        <c:ser>
          <c:idx val="4"/>
          <c:order val="4"/>
          <c:tx>
            <c:strRef>
              <c:f>'Recuento E. coli'!$B$57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'Recuento E. coli'!$C$52:$L$52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E. coli'!$C$57:$L$57</c:f>
              <c:numCache>
                <c:formatCode>0</c:formatCode>
                <c:ptCount val="10"/>
                <c:pt idx="0">
                  <c:v>235</c:v>
                </c:pt>
                <c:pt idx="1">
                  <c:v>9.5</c:v>
                </c:pt>
                <c:pt idx="2">
                  <c:v>12</c:v>
                </c:pt>
                <c:pt idx="3">
                  <c:v>15</c:v>
                </c:pt>
                <c:pt idx="4">
                  <c:v>11.75</c:v>
                </c:pt>
                <c:pt idx="5">
                  <c:v>6.75</c:v>
                </c:pt>
                <c:pt idx="6">
                  <c:v>13.5</c:v>
                </c:pt>
                <c:pt idx="7">
                  <c:v>16.5</c:v>
                </c:pt>
                <c:pt idx="8">
                  <c:v>13.5</c:v>
                </c:pt>
                <c:pt idx="9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52-4784-BC95-1DBAFA9B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794432"/>
        <c:axId val="499782784"/>
      </c:lineChart>
      <c:catAx>
        <c:axId val="49979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9782784"/>
        <c:crosses val="autoZero"/>
        <c:auto val="1"/>
        <c:lblAlgn val="ctr"/>
        <c:lblOffset val="100"/>
        <c:noMultiLvlLbl val="0"/>
      </c:catAx>
      <c:valAx>
        <c:axId val="4997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97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E. coli'!$B$3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coli'!$C$3</c:f>
              <c:numCache>
                <c:formatCode>0</c:formatCode>
                <c:ptCount val="1"/>
                <c:pt idx="0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3-402D-884D-6938E1515BEA}"/>
            </c:ext>
          </c:extLst>
        </c:ser>
        <c:ser>
          <c:idx val="1"/>
          <c:order val="1"/>
          <c:tx>
            <c:strRef>
              <c:f>'Recuento E. coli'!$B$4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coli'!$C$4</c:f>
              <c:numCache>
                <c:formatCode>0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3-402D-884D-6938E1515BEA}"/>
            </c:ext>
          </c:extLst>
        </c:ser>
        <c:ser>
          <c:idx val="2"/>
          <c:order val="2"/>
          <c:tx>
            <c:strRef>
              <c:f>'Recuento E. coli'!$B$5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coli'!$C$5</c:f>
              <c:numCache>
                <c:formatCode>0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3-402D-884D-6938E1515BEA}"/>
            </c:ext>
          </c:extLst>
        </c:ser>
        <c:ser>
          <c:idx val="3"/>
          <c:order val="3"/>
          <c:tx>
            <c:strRef>
              <c:f>'Recuento E. coli'!$B$6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coli'!$C$6</c:f>
              <c:numCache>
                <c:formatCode>0</c:formatCode>
                <c:ptCount val="1"/>
                <c:pt idx="0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D3-402D-884D-6938E1515BEA}"/>
            </c:ext>
          </c:extLst>
        </c:ser>
        <c:ser>
          <c:idx val="4"/>
          <c:order val="4"/>
          <c:tx>
            <c:strRef>
              <c:f>'Recuento E. coli'!$B$7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'Recuento E. coli'!$C$2</c:f>
              <c:strCache>
                <c:ptCount val="1"/>
                <c:pt idx="0">
                  <c:v>T(0)-H(0)</c:v>
                </c:pt>
              </c:strCache>
            </c:strRef>
          </c:cat>
          <c:val>
            <c:numRef>
              <c:f>'Recuento E. coli'!$C$7</c:f>
              <c:numCache>
                <c:formatCode>0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D3-402D-884D-6938E1515B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2495216"/>
        <c:axId val="222511440"/>
      </c:bar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Recuento</a:t>
                </a:r>
                <a:r>
                  <a:rPr lang="es-PE" baseline="0"/>
                  <a:t> en placa de Salmonella typhimurium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Salmonella'!$B$42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Salmonella'!$C$41:$E$41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Salmonella'!$C$42:$E$42</c:f>
              <c:numCache>
                <c:formatCode>0</c:formatCode>
                <c:ptCount val="3"/>
                <c:pt idx="0">
                  <c:v>17</c:v>
                </c:pt>
                <c:pt idx="1">
                  <c:v>11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F8A-A4D3-25286581E9D5}"/>
            </c:ext>
          </c:extLst>
        </c:ser>
        <c:ser>
          <c:idx val="1"/>
          <c:order val="1"/>
          <c:tx>
            <c:strRef>
              <c:f>'Recuento Salmonella'!$B$43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Salmonella'!$C$41:$E$41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Salmonella'!$C$43:$E$43</c:f>
              <c:numCache>
                <c:formatCode>0</c:formatCode>
                <c:ptCount val="3"/>
                <c:pt idx="0">
                  <c:v>17</c:v>
                </c:pt>
                <c:pt idx="1">
                  <c:v>15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F-4F8A-A4D3-25286581E9D5}"/>
            </c:ext>
          </c:extLst>
        </c:ser>
        <c:ser>
          <c:idx val="2"/>
          <c:order val="2"/>
          <c:tx>
            <c:strRef>
              <c:f>'Recuento Salmonella'!$B$44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Salmonella'!$C$41:$E$41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Salmonella'!$C$44:$E$44</c:f>
              <c:numCache>
                <c:formatCode>0</c:formatCode>
                <c:ptCount val="3"/>
                <c:pt idx="0">
                  <c:v>19</c:v>
                </c:pt>
                <c:pt idx="1">
                  <c:v>12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F-4F8A-A4D3-25286581E9D5}"/>
            </c:ext>
          </c:extLst>
        </c:ser>
        <c:ser>
          <c:idx val="3"/>
          <c:order val="3"/>
          <c:tx>
            <c:strRef>
              <c:f>'Recuento Salmonella'!$B$45</c:f>
              <c:strCache>
                <c:ptCount val="1"/>
                <c:pt idx="0">
                  <c:v>T3(5min.)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Salmonella'!$C$41:$E$41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Salmonella'!$C$45:$E$45</c:f>
              <c:numCache>
                <c:formatCode>0</c:formatCode>
                <c:ptCount val="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F-4F8A-A4D3-25286581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Salmonella'!$B$46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Salmonella'!$C$41:$E$41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Salmonella'!$C$46:$E$46</c:f>
              <c:numCache>
                <c:formatCode>0</c:formatCode>
                <c:ptCount val="3"/>
                <c:pt idx="0">
                  <c:v>17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EF-4F8A-A4D3-25286581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Altura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Unidad de</a:t>
                </a:r>
                <a:r>
                  <a:rPr lang="es-PE" baseline="0"/>
                  <a:t> r</a:t>
                </a:r>
                <a:r>
                  <a:rPr lang="es-PE"/>
                  <a:t>ecuento</a:t>
                </a:r>
                <a:r>
                  <a:rPr lang="es-PE" baseline="0"/>
                  <a:t> en placa de Salmonella typhimurium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Salmonella'!$B$17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Salmonella'!$C$16:$E$16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Salmonella'!$C$17:$E$17</c:f>
              <c:numCache>
                <c:formatCode>0</c:formatCode>
                <c:ptCount val="3"/>
                <c:pt idx="0">
                  <c:v>13</c:v>
                </c:pt>
                <c:pt idx="1">
                  <c:v>16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1-4BE7-88BE-83BACC29496F}"/>
            </c:ext>
          </c:extLst>
        </c:ser>
        <c:ser>
          <c:idx val="1"/>
          <c:order val="1"/>
          <c:tx>
            <c:strRef>
              <c:f>'Recuento Salmonella'!$B$18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Salmonella'!$C$16:$E$16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Salmonella'!$C$18:$E$18</c:f>
              <c:numCache>
                <c:formatCode>0</c:formatCode>
                <c:ptCount val="3"/>
                <c:pt idx="0">
                  <c:v>10</c:v>
                </c:pt>
                <c:pt idx="1">
                  <c:v>17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1-4BE7-88BE-83BACC29496F}"/>
            </c:ext>
          </c:extLst>
        </c:ser>
        <c:ser>
          <c:idx val="2"/>
          <c:order val="2"/>
          <c:tx>
            <c:strRef>
              <c:f>'Recuento Salmonella'!$B$19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Salmonella'!$C$16:$E$16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Salmonella'!$C$19:$E$19</c:f>
              <c:numCache>
                <c:formatCode>0</c:formatCode>
                <c:ptCount val="3"/>
                <c:pt idx="0">
                  <c:v>12</c:v>
                </c:pt>
                <c:pt idx="1">
                  <c:v>15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1-4BE7-88BE-83BACC29496F}"/>
            </c:ext>
          </c:extLst>
        </c:ser>
        <c:ser>
          <c:idx val="3"/>
          <c:order val="3"/>
          <c:tx>
            <c:strRef>
              <c:f>'Recuento Salmonella'!$B$20</c:f>
              <c:strCache>
                <c:ptCount val="1"/>
                <c:pt idx="0">
                  <c:v>T1(1min.)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Salmonella'!$C$16:$E$16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Salmonella'!$C$20:$E$20</c:f>
              <c:numCache>
                <c:formatCode>0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9-496F-A99B-8C87B29C7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Salmonella'!$B$21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Salmonella'!$C$16:$E$16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Salmonella'!$C$21:$E$21</c:f>
              <c:numCache>
                <c:formatCode>0</c:formatCode>
                <c:ptCount val="3"/>
                <c:pt idx="0">
                  <c:v>11.5</c:v>
                </c:pt>
                <c:pt idx="1">
                  <c:v>16.25</c:v>
                </c:pt>
                <c:pt idx="2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9-496F-A99B-8C87B29C7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b="0"/>
                  <a:t>Altura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Unidade</a:t>
                </a:r>
                <a:r>
                  <a:rPr lang="es-PE" baseline="0"/>
                  <a:t> </a:t>
                </a:r>
                <a:r>
                  <a:rPr lang="es-PE"/>
                  <a:t>de Recuento en placa de Salmonella typhimurium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Salmonella'!$B$55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'Recuento Salmonella'!$C$54:$L$54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Salmonella'!$C$55:$L$55</c:f>
              <c:numCache>
                <c:formatCode>0</c:formatCode>
                <c:ptCount val="10"/>
                <c:pt idx="0">
                  <c:v>247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17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7-4354-B809-8A0B79E39643}"/>
            </c:ext>
          </c:extLst>
        </c:ser>
        <c:ser>
          <c:idx val="1"/>
          <c:order val="1"/>
          <c:tx>
            <c:strRef>
              <c:f>'Recuento Salmonella'!$B$56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'Recuento Salmonella'!$C$54:$L$54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Salmonella'!$C$56:$L$56</c:f>
              <c:numCache>
                <c:formatCode>0</c:formatCode>
                <c:ptCount val="10"/>
                <c:pt idx="0">
                  <c:v>245</c:v>
                </c:pt>
                <c:pt idx="1">
                  <c:v>10</c:v>
                </c:pt>
                <c:pt idx="2">
                  <c:v>17</c:v>
                </c:pt>
                <c:pt idx="3">
                  <c:v>19</c:v>
                </c:pt>
                <c:pt idx="4">
                  <c:v>11</c:v>
                </c:pt>
                <c:pt idx="5">
                  <c:v>5</c:v>
                </c:pt>
                <c:pt idx="6">
                  <c:v>15</c:v>
                </c:pt>
                <c:pt idx="7">
                  <c:v>17</c:v>
                </c:pt>
                <c:pt idx="8">
                  <c:v>15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7-4354-B809-8A0B79E39643}"/>
            </c:ext>
          </c:extLst>
        </c:ser>
        <c:ser>
          <c:idx val="2"/>
          <c:order val="2"/>
          <c:tx>
            <c:strRef>
              <c:f>'Recuento Salmonella'!$B$57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'Recuento Salmonella'!$C$54:$L$54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Salmonella'!$C$57:$L$57</c:f>
              <c:numCache>
                <c:formatCode>0</c:formatCode>
                <c:ptCount val="10"/>
                <c:pt idx="0">
                  <c:v>236</c:v>
                </c:pt>
                <c:pt idx="1">
                  <c:v>12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  <c:pt idx="5">
                  <c:v>7</c:v>
                </c:pt>
                <c:pt idx="6">
                  <c:v>16</c:v>
                </c:pt>
                <c:pt idx="7">
                  <c:v>19</c:v>
                </c:pt>
                <c:pt idx="8">
                  <c:v>12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7-4354-B809-8A0B79E39643}"/>
            </c:ext>
          </c:extLst>
        </c:ser>
        <c:ser>
          <c:idx val="3"/>
          <c:order val="3"/>
          <c:tx>
            <c:strRef>
              <c:f>'Recuento Salmonella'!$B$58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Salmonella'!$C$54:$L$54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'Recuento Salmonella'!$C$58:$L$58</c:f>
              <c:numCache>
                <c:formatCode>0</c:formatCode>
                <c:ptCount val="10"/>
                <c:pt idx="0">
                  <c:v>233</c:v>
                </c:pt>
                <c:pt idx="1">
                  <c:v>11</c:v>
                </c:pt>
                <c:pt idx="2">
                  <c:v>17</c:v>
                </c:pt>
                <c:pt idx="3">
                  <c:v>18</c:v>
                </c:pt>
                <c:pt idx="4">
                  <c:v>14</c:v>
                </c:pt>
                <c:pt idx="5">
                  <c:v>6</c:v>
                </c:pt>
                <c:pt idx="6">
                  <c:v>13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47-4354-B809-8A0B79E3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6333696"/>
        <c:axId val="1326344096"/>
      </c:barChart>
      <c:lineChart>
        <c:grouping val="standard"/>
        <c:varyColors val="0"/>
        <c:ser>
          <c:idx val="4"/>
          <c:order val="4"/>
          <c:tx>
            <c:strRef>
              <c:f>'Recuento Salmonella'!$B$59</c:f>
              <c:strCache>
                <c:ptCount val="1"/>
                <c:pt idx="0">
                  <c:v>PROMEDIO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'Recuento Salmonella'!$C$54:$L$54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  <c:extLst xmlns:c15="http://schemas.microsoft.com/office/drawing/2012/chart"/>
            </c:strRef>
          </c:cat>
          <c:val>
            <c:numRef>
              <c:f>'Recuento Salmonella'!$C$59:$L$59</c:f>
              <c:numCache>
                <c:formatCode>0</c:formatCode>
                <c:ptCount val="10"/>
                <c:pt idx="0">
                  <c:v>240.25</c:v>
                </c:pt>
                <c:pt idx="1">
                  <c:v>11.5</c:v>
                </c:pt>
                <c:pt idx="2">
                  <c:v>16.25</c:v>
                </c:pt>
                <c:pt idx="3">
                  <c:v>18.5</c:v>
                </c:pt>
                <c:pt idx="4">
                  <c:v>11.25</c:v>
                </c:pt>
                <c:pt idx="5">
                  <c:v>6</c:v>
                </c:pt>
                <c:pt idx="6">
                  <c:v>14.75</c:v>
                </c:pt>
                <c:pt idx="7">
                  <c:v>17</c:v>
                </c:pt>
                <c:pt idx="8">
                  <c:v>13</c:v>
                </c:pt>
                <c:pt idx="9">
                  <c:v>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D47-4354-B809-8A0B79E3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333696"/>
        <c:axId val="1326344096"/>
        <c:extLst/>
      </c:lineChart>
      <c:catAx>
        <c:axId val="13263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Tratamientos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26344096"/>
        <c:crosses val="autoZero"/>
        <c:auto val="1"/>
        <c:lblAlgn val="ctr"/>
        <c:lblOffset val="100"/>
        <c:noMultiLvlLbl val="0"/>
      </c:catAx>
      <c:valAx>
        <c:axId val="13263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Conteo</a:t>
                </a:r>
                <a:r>
                  <a:rPr lang="es-PE" baseline="0"/>
                  <a:t> en placa de Colonias de Salmonella typhimurium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263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'Recuento Salmonella'!$B$29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'Recuento Salmonella'!$C$28:$E$28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Salmonella'!$C$29:$E$29</c:f>
              <c:numCache>
                <c:formatCode>0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7-4E8F-8FF9-99AC018F68E3}"/>
            </c:ext>
          </c:extLst>
        </c:ser>
        <c:ser>
          <c:idx val="1"/>
          <c:order val="1"/>
          <c:tx>
            <c:strRef>
              <c:f>'Recuento Salmonella'!$B$30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'Recuento Salmonella'!$C$28:$E$28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Salmonella'!$C$30:$E$30</c:f>
              <c:numCache>
                <c:formatCode>0</c:formatCode>
                <c:ptCount val="3"/>
                <c:pt idx="0">
                  <c:v>11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7-4E8F-8FF9-99AC018F68E3}"/>
            </c:ext>
          </c:extLst>
        </c:ser>
        <c:ser>
          <c:idx val="2"/>
          <c:order val="2"/>
          <c:tx>
            <c:strRef>
              <c:f>'Recuento Salmonella'!$B$31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'Recuento Salmonella'!$C$28:$E$28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Salmonella'!$C$31:$E$31</c:f>
              <c:numCache>
                <c:formatCode>0</c:formatCode>
                <c:ptCount val="3"/>
                <c:pt idx="0">
                  <c:v>10</c:v>
                </c:pt>
                <c:pt idx="1">
                  <c:v>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7-4E8F-8FF9-99AC018F68E3}"/>
            </c:ext>
          </c:extLst>
        </c:ser>
        <c:ser>
          <c:idx val="3"/>
          <c:order val="3"/>
          <c:tx>
            <c:strRef>
              <c:f>'Recuento Salmonella'!$B$32</c:f>
              <c:strCache>
                <c:ptCount val="1"/>
                <c:pt idx="0">
                  <c:v>T2(3min.)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'Recuento Salmonella'!$C$28:$E$28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Salmonella'!$C$32:$E$32</c:f>
              <c:numCache>
                <c:formatCode>0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7-4E8F-8FF9-99AC018F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22495216"/>
        <c:axId val="222511440"/>
      </c:barChart>
      <c:lineChart>
        <c:grouping val="standard"/>
        <c:varyColors val="0"/>
        <c:ser>
          <c:idx val="4"/>
          <c:order val="4"/>
          <c:tx>
            <c:strRef>
              <c:f>'Recuento Salmonella'!$B$33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'Recuento Salmonella'!$C$28:$E$28</c:f>
              <c:strCache>
                <c:ptCount val="3"/>
                <c:pt idx="0">
                  <c:v>H1(5cm)</c:v>
                </c:pt>
                <c:pt idx="1">
                  <c:v>H2(10cm)</c:v>
                </c:pt>
                <c:pt idx="2">
                  <c:v>H2(20cm)</c:v>
                </c:pt>
              </c:strCache>
            </c:strRef>
          </c:cat>
          <c:val>
            <c:numRef>
              <c:f>'Recuento Salmonella'!$C$33:$E$33</c:f>
              <c:numCache>
                <c:formatCode>0</c:formatCode>
                <c:ptCount val="3"/>
                <c:pt idx="0">
                  <c:v>11.25</c:v>
                </c:pt>
                <c:pt idx="1">
                  <c:v>6</c:v>
                </c:pt>
                <c:pt idx="2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27-4E8F-8FF9-99AC018F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495216"/>
        <c:axId val="222511440"/>
      </c:lineChart>
      <c:catAx>
        <c:axId val="22249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Altura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511440"/>
        <c:crosses val="autoZero"/>
        <c:auto val="1"/>
        <c:lblAlgn val="ctr"/>
        <c:lblOffset val="100"/>
        <c:noMultiLvlLbl val="0"/>
      </c:catAx>
      <c:valAx>
        <c:axId val="2225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Unidade de Recuento en placa de Salmonella typhimurium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24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Hoja8!$C$2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Hoja8!$C$3:$C$12</c:f>
              <c:numCache>
                <c:formatCode>0</c:formatCode>
                <c:ptCount val="10"/>
                <c:pt idx="0">
                  <c:v>225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12</c:v>
                </c:pt>
                <c:pt idx="5">
                  <c:v>6</c:v>
                </c:pt>
                <c:pt idx="6">
                  <c:v>14</c:v>
                </c:pt>
                <c:pt idx="7">
                  <c:v>17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6-464D-99B6-B60595EC78BA}"/>
            </c:ext>
          </c:extLst>
        </c:ser>
        <c:ser>
          <c:idx val="1"/>
          <c:order val="1"/>
          <c:tx>
            <c:strRef>
              <c:f>Hoja8!$D$2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Hoja8!$D$3:$D$12</c:f>
              <c:numCache>
                <c:formatCode>0</c:formatCode>
                <c:ptCount val="10"/>
                <c:pt idx="0">
                  <c:v>240</c:v>
                </c:pt>
                <c:pt idx="1">
                  <c:v>8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  <c:pt idx="5">
                  <c:v>8</c:v>
                </c:pt>
                <c:pt idx="6">
                  <c:v>12</c:v>
                </c:pt>
                <c:pt idx="7">
                  <c:v>18</c:v>
                </c:pt>
                <c:pt idx="8">
                  <c:v>12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6-464D-99B6-B60595EC78BA}"/>
            </c:ext>
          </c:extLst>
        </c:ser>
        <c:ser>
          <c:idx val="2"/>
          <c:order val="2"/>
          <c:tx>
            <c:strRef>
              <c:f>Hoja8!$E$2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Hoja8!$E$3:$E$12</c:f>
              <c:numCache>
                <c:formatCode>0</c:formatCode>
                <c:ptCount val="10"/>
                <c:pt idx="0">
                  <c:v>245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7</c:v>
                </c:pt>
                <c:pt idx="6">
                  <c:v>13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D6-464D-99B6-B60595EC7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86398223"/>
        <c:axId val="86401551"/>
      </c:barChart>
      <c:lineChart>
        <c:grouping val="standard"/>
        <c:varyColors val="0"/>
        <c:ser>
          <c:idx val="4"/>
          <c:order val="3"/>
          <c:tx>
            <c:strRef>
              <c:f>Hoja8!$F$2</c:f>
              <c:strCache>
                <c:ptCount val="1"/>
                <c:pt idx="0">
                  <c:v>M4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Hoja8!$F$3:$F$12</c:f>
              <c:numCache>
                <c:formatCode>0</c:formatCode>
                <c:ptCount val="10"/>
                <c:pt idx="0">
                  <c:v>230</c:v>
                </c:pt>
                <c:pt idx="1">
                  <c:v>11</c:v>
                </c:pt>
                <c:pt idx="2">
                  <c:v>11</c:v>
                </c:pt>
                <c:pt idx="3">
                  <c:v>15</c:v>
                </c:pt>
                <c:pt idx="4">
                  <c:v>11</c:v>
                </c:pt>
                <c:pt idx="5">
                  <c:v>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5D6-464D-99B6-B60595EC78BA}"/>
            </c:ext>
          </c:extLst>
        </c:ser>
        <c:ser>
          <c:idx val="5"/>
          <c:order val="4"/>
          <c:tx>
            <c:strRef>
              <c:f>Hoja8!$G$2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Hoja8!$G$3:$G$12</c:f>
              <c:numCache>
                <c:formatCode>0</c:formatCode>
                <c:ptCount val="10"/>
                <c:pt idx="0">
                  <c:v>235</c:v>
                </c:pt>
                <c:pt idx="1">
                  <c:v>9.5</c:v>
                </c:pt>
                <c:pt idx="2">
                  <c:v>12</c:v>
                </c:pt>
                <c:pt idx="3">
                  <c:v>15</c:v>
                </c:pt>
                <c:pt idx="4">
                  <c:v>11.75</c:v>
                </c:pt>
                <c:pt idx="5">
                  <c:v>6.75</c:v>
                </c:pt>
                <c:pt idx="6">
                  <c:v>13.5</c:v>
                </c:pt>
                <c:pt idx="7">
                  <c:v>16.5</c:v>
                </c:pt>
                <c:pt idx="8">
                  <c:v>13.5</c:v>
                </c:pt>
                <c:pt idx="9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D6-464D-99B6-B60595EC78BA}"/>
            </c:ext>
          </c:extLst>
        </c:ser>
        <c:ser>
          <c:idx val="3"/>
          <c:order val="5"/>
          <c:tx>
            <c:strRef>
              <c:f>Hoja8!$H$2</c:f>
              <c:strCache>
                <c:ptCount val="1"/>
                <c:pt idx="0">
                  <c:v>% Reduccion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Hoja8!$B$3:$B$12</c:f>
              <c:strCache>
                <c:ptCount val="10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  <c:pt idx="3">
                  <c:v>T1(1min)-H2(20cm)</c:v>
                </c:pt>
                <c:pt idx="4">
                  <c:v>T2(3min.)-H1(5cm)</c:v>
                </c:pt>
                <c:pt idx="5">
                  <c:v>T2(3min.)-H2(10cm)</c:v>
                </c:pt>
                <c:pt idx="6">
                  <c:v>T2(3min)-H2(20cm)</c:v>
                </c:pt>
                <c:pt idx="7">
                  <c:v>T3(5min.)-H1(5cm)</c:v>
                </c:pt>
                <c:pt idx="8">
                  <c:v>T3(5min.)-H2(10cm)</c:v>
                </c:pt>
                <c:pt idx="9">
                  <c:v>T3(5min)-H2(20cm)</c:v>
                </c:pt>
              </c:strCache>
            </c:strRef>
          </c:cat>
          <c:val>
            <c:numRef>
              <c:f>Hoja8!$H$3:$H$12</c:f>
              <c:numCache>
                <c:formatCode>0.00</c:formatCode>
                <c:ptCount val="10"/>
                <c:pt idx="0">
                  <c:v>0</c:v>
                </c:pt>
                <c:pt idx="1">
                  <c:v>95.957446808510639</c:v>
                </c:pt>
                <c:pt idx="2">
                  <c:v>94.893617021276597</c:v>
                </c:pt>
                <c:pt idx="3">
                  <c:v>93.61702127659575</c:v>
                </c:pt>
                <c:pt idx="4">
                  <c:v>95</c:v>
                </c:pt>
                <c:pt idx="5">
                  <c:v>97.127659574468083</c:v>
                </c:pt>
                <c:pt idx="6">
                  <c:v>94.255319148936167</c:v>
                </c:pt>
                <c:pt idx="7">
                  <c:v>92.978723404255319</c:v>
                </c:pt>
                <c:pt idx="8">
                  <c:v>94.255319148936167</c:v>
                </c:pt>
                <c:pt idx="9">
                  <c:v>94.680851063829792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2-4691-8E2E-5405BE659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98223"/>
        <c:axId val="86401551"/>
      </c:lineChart>
      <c:catAx>
        <c:axId val="8639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401551"/>
        <c:crosses val="autoZero"/>
        <c:auto val="1"/>
        <c:lblAlgn val="ctr"/>
        <c:lblOffset val="100"/>
        <c:noMultiLvlLbl val="0"/>
      </c:catAx>
      <c:valAx>
        <c:axId val="864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39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Hoja8!$B$21</c:f>
              <c:strCache>
                <c:ptCount val="1"/>
                <c:pt idx="0">
                  <c:v>T(0)-H(0)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Hoja8!$C$20:$H$20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Promedio</c:v>
                </c:pt>
                <c:pt idx="5">
                  <c:v>% Reducción</c:v>
                </c:pt>
              </c:strCache>
            </c:strRef>
          </c:cat>
          <c:val>
            <c:numRef>
              <c:f>Hoja8!$C$21:$H$21</c:f>
              <c:numCache>
                <c:formatCode>0</c:formatCode>
                <c:ptCount val="6"/>
                <c:pt idx="0">
                  <c:v>247</c:v>
                </c:pt>
                <c:pt idx="1">
                  <c:v>245</c:v>
                </c:pt>
                <c:pt idx="2">
                  <c:v>236</c:v>
                </c:pt>
                <c:pt idx="3">
                  <c:v>233</c:v>
                </c:pt>
                <c:pt idx="4">
                  <c:v>240.25</c:v>
                </c:pt>
                <c:pt idx="5" formatCode="0.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C-4C3A-9EA4-3D9D5C1F16E9}"/>
            </c:ext>
          </c:extLst>
        </c:ser>
        <c:ser>
          <c:idx val="1"/>
          <c:order val="1"/>
          <c:tx>
            <c:strRef>
              <c:f>Hoja8!$B$22</c:f>
              <c:strCache>
                <c:ptCount val="1"/>
                <c:pt idx="0">
                  <c:v>T1(1min.)-H1(5cm)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Hoja8!$C$20:$H$20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Promedio</c:v>
                </c:pt>
                <c:pt idx="5">
                  <c:v>% Reducción</c:v>
                </c:pt>
              </c:strCache>
            </c:strRef>
          </c:cat>
          <c:val>
            <c:numRef>
              <c:f>Hoja8!$C$22:$H$22</c:f>
              <c:numCache>
                <c:formatCode>0</c:formatCode>
                <c:ptCount val="6"/>
                <c:pt idx="0">
                  <c:v>13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11.5</c:v>
                </c:pt>
                <c:pt idx="5" formatCode="0.00">
                  <c:v>4.7866805411030174E-2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C-4C3A-9EA4-3D9D5C1F16E9}"/>
            </c:ext>
          </c:extLst>
        </c:ser>
        <c:ser>
          <c:idx val="2"/>
          <c:order val="2"/>
          <c:tx>
            <c:strRef>
              <c:f>Hoja8!$B$23</c:f>
              <c:strCache>
                <c:ptCount val="1"/>
                <c:pt idx="0">
                  <c:v>T1(1min.)-H2(10cm)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Hoja8!$C$20:$H$20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Promedio</c:v>
                </c:pt>
                <c:pt idx="5">
                  <c:v>% Reducción</c:v>
                </c:pt>
              </c:strCache>
            </c:strRef>
          </c:cat>
          <c:val>
            <c:numRef>
              <c:f>Hoja8!$C$23:$H$23</c:f>
              <c:numCache>
                <c:formatCode>0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15</c:v>
                </c:pt>
                <c:pt idx="3">
                  <c:v>17</c:v>
                </c:pt>
                <c:pt idx="4">
                  <c:v>16.25</c:v>
                </c:pt>
                <c:pt idx="5" formatCode="0.00">
                  <c:v>6.763787721123829E-2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C-4C3A-9EA4-3D9D5C1F1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93327"/>
        <c:axId val="117797071"/>
      </c:barChart>
      <c:catAx>
        <c:axId val="11779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7797071"/>
        <c:crosses val="autoZero"/>
        <c:auto val="1"/>
        <c:lblAlgn val="ctr"/>
        <c:lblOffset val="100"/>
        <c:noMultiLvlLbl val="0"/>
      </c:catAx>
      <c:valAx>
        <c:axId val="1177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779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Hoja8!$C$20</c:f>
              <c:strCache>
                <c:ptCount val="1"/>
                <c:pt idx="0">
                  <c:v>M1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Hoja8!$C$21:$C$23</c:f>
              <c:numCache>
                <c:formatCode>0</c:formatCode>
                <c:ptCount val="3"/>
                <c:pt idx="0">
                  <c:v>247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A-4C19-B88C-8656947308E3}"/>
            </c:ext>
          </c:extLst>
        </c:ser>
        <c:ser>
          <c:idx val="2"/>
          <c:order val="1"/>
          <c:tx>
            <c:strRef>
              <c:f>Hoja8!$D$20</c:f>
              <c:strCache>
                <c:ptCount val="1"/>
                <c:pt idx="0">
                  <c:v>M2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Hoja8!$D$21:$D$23</c:f>
              <c:numCache>
                <c:formatCode>0</c:formatCode>
                <c:ptCount val="3"/>
                <c:pt idx="0">
                  <c:v>245</c:v>
                </c:pt>
                <c:pt idx="1">
                  <c:v>10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A-4C19-B88C-8656947308E3}"/>
            </c:ext>
          </c:extLst>
        </c:ser>
        <c:ser>
          <c:idx val="3"/>
          <c:order val="2"/>
          <c:tx>
            <c:strRef>
              <c:f>Hoja8!$E$20</c:f>
              <c:strCache>
                <c:ptCount val="1"/>
                <c:pt idx="0">
                  <c:v>M3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Hoja8!$E$21:$E$23</c:f>
              <c:numCache>
                <c:formatCode>0</c:formatCode>
                <c:ptCount val="3"/>
                <c:pt idx="0">
                  <c:v>236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A-4C19-B88C-8656947308E3}"/>
            </c:ext>
          </c:extLst>
        </c:ser>
        <c:ser>
          <c:idx val="4"/>
          <c:order val="3"/>
          <c:tx>
            <c:strRef>
              <c:f>Hoja8!$F$20</c:f>
              <c:strCache>
                <c:ptCount val="1"/>
                <c:pt idx="0">
                  <c:v>M4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Hoja8!$F$21:$F$23</c:f>
              <c:numCache>
                <c:formatCode>0</c:formatCode>
                <c:ptCount val="3"/>
                <c:pt idx="0">
                  <c:v>233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FA-4C19-B88C-8656947308E3}"/>
            </c:ext>
          </c:extLst>
        </c:ser>
        <c:ser>
          <c:idx val="1"/>
          <c:order val="4"/>
          <c:tx>
            <c:strRef>
              <c:f>Hoja8!$G$20</c:f>
              <c:strCache>
                <c:ptCount val="1"/>
                <c:pt idx="0">
                  <c:v>Promedio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60699009290614"/>
                  <c:y val="-0.39781909918802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Hoja8!$G$21:$G$23</c:f>
              <c:numCache>
                <c:formatCode>0</c:formatCode>
                <c:ptCount val="3"/>
                <c:pt idx="0">
                  <c:v>240.25</c:v>
                </c:pt>
                <c:pt idx="1">
                  <c:v>11.5</c:v>
                </c:pt>
                <c:pt idx="2">
                  <c:v>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A-4C19-B88C-8656947308E3}"/>
            </c:ext>
          </c:extLst>
        </c:ser>
        <c:ser>
          <c:idx val="5"/>
          <c:order val="5"/>
          <c:tx>
            <c:strRef>
              <c:f>Hoja8!$H$20</c:f>
              <c:strCache>
                <c:ptCount val="1"/>
                <c:pt idx="0">
                  <c:v>% Reducción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Hoja8!$B$21:$B$23</c:f>
              <c:strCache>
                <c:ptCount val="3"/>
                <c:pt idx="0">
                  <c:v>T(0)-H(0)</c:v>
                </c:pt>
                <c:pt idx="1">
                  <c:v>T1(1min.)-H1(5cm)</c:v>
                </c:pt>
                <c:pt idx="2">
                  <c:v>T1(1min.)-H2(10cm)</c:v>
                </c:pt>
              </c:strCache>
            </c:strRef>
          </c:cat>
          <c:val>
            <c:numRef>
              <c:f>Hoja8!$H$21:$H$23</c:f>
              <c:numCache>
                <c:formatCode>0.00</c:formatCode>
                <c:ptCount val="3"/>
                <c:pt idx="0">
                  <c:v>1</c:v>
                </c:pt>
                <c:pt idx="1">
                  <c:v>4.7866805411030174E-2</c:v>
                </c:pt>
                <c:pt idx="2">
                  <c:v>6.763787721123829E-2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FA-4C19-B88C-865694730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342159"/>
        <c:axId val="1534345487"/>
      </c:barChart>
      <c:catAx>
        <c:axId val="153434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MUESTRA</a:t>
                </a:r>
              </a:p>
            </c:rich>
          </c:tx>
          <c:layout>
            <c:manualLayout>
              <c:xMode val="edge"/>
              <c:yMode val="edge"/>
              <c:x val="0.4145680870773506"/>
              <c:y val="0.92867176246979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4345487"/>
        <c:crosses val="autoZero"/>
        <c:auto val="1"/>
        <c:lblAlgn val="ctr"/>
        <c:lblOffset val="100"/>
        <c:noMultiLvlLbl val="0"/>
      </c:catAx>
      <c:valAx>
        <c:axId val="1534345487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SalmonellaUFC/g.</a:t>
                </a:r>
              </a:p>
            </c:rich>
          </c:tx>
          <c:layout>
            <c:manualLayout>
              <c:xMode val="edge"/>
              <c:yMode val="edge"/>
              <c:x val="1.2654362538678691E-2"/>
              <c:y val="0.30685761882620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434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12</xdr:row>
      <xdr:rowOff>152399</xdr:rowOff>
    </xdr:from>
    <xdr:to>
      <xdr:col>12</xdr:col>
      <xdr:colOff>285750</xdr:colOff>
      <xdr:row>24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05ECC7-C4D5-461F-8CBE-C6CD8F4D4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704850</xdr:colOff>
      <xdr:row>23</xdr:row>
      <xdr:rowOff>161925</xdr:rowOff>
    </xdr:from>
    <xdr:to>
      <xdr:col>12</xdr:col>
      <xdr:colOff>276225</xdr:colOff>
      <xdr:row>35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FDE380-5CF9-4D5D-8929-565BE17AE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723900</xdr:colOff>
      <xdr:row>36</xdr:row>
      <xdr:rowOff>171450</xdr:rowOff>
    </xdr:from>
    <xdr:to>
      <xdr:col>12</xdr:col>
      <xdr:colOff>295275</xdr:colOff>
      <xdr:row>48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C6E91FE-BF9B-4917-BAD6-31175762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80872</xdr:colOff>
      <xdr:row>0</xdr:row>
      <xdr:rowOff>143774</xdr:rowOff>
    </xdr:from>
    <xdr:to>
      <xdr:col>10</xdr:col>
      <xdr:colOff>414248</xdr:colOff>
      <xdr:row>12</xdr:row>
      <xdr:rowOff>97945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ADA6EDD-096C-4AA1-9B45-5508FDCBB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42361</xdr:colOff>
      <xdr:row>61</xdr:row>
      <xdr:rowOff>93861</xdr:rowOff>
    </xdr:from>
    <xdr:to>
      <xdr:col>11</xdr:col>
      <xdr:colOff>17972</xdr:colOff>
      <xdr:row>90</xdr:row>
      <xdr:rowOff>170730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D9655A7-1A41-30C3-09D1-3B0B52AFD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333375</xdr:colOff>
      <xdr:row>12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71034F-CDEE-4621-9568-7D4D68825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1068938</xdr:colOff>
      <xdr:row>39</xdr:row>
      <xdr:rowOff>77366</xdr:rowOff>
    </xdr:from>
    <xdr:to>
      <xdr:col>11</xdr:col>
      <xdr:colOff>294886</xdr:colOff>
      <xdr:row>51</xdr:row>
      <xdr:rowOff>25659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B372D6B-D254-4446-91EC-166361F30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369336</xdr:colOff>
      <xdr:row>13</xdr:row>
      <xdr:rowOff>123825</xdr:rowOff>
    </xdr:from>
    <xdr:to>
      <xdr:col>10</xdr:col>
      <xdr:colOff>1059413</xdr:colOff>
      <xdr:row>26</xdr:row>
      <xdr:rowOff>9720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E9B2DC-1A41-41CD-960F-B281C4620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699796</xdr:colOff>
      <xdr:row>59</xdr:row>
      <xdr:rowOff>155511</xdr:rowOff>
    </xdr:from>
    <xdr:to>
      <xdr:col>11</xdr:col>
      <xdr:colOff>944723</xdr:colOff>
      <xdr:row>88</xdr:row>
      <xdr:rowOff>134129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06FFD4-8521-BEE6-5E49-2123B0DAF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379056</xdr:colOff>
      <xdr:row>26</xdr:row>
      <xdr:rowOff>174950</xdr:rowOff>
    </xdr:from>
    <xdr:to>
      <xdr:col>10</xdr:col>
      <xdr:colOff>1069133</xdr:colOff>
      <xdr:row>39</xdr:row>
      <xdr:rowOff>60844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5EDAA4-850A-46CC-B473-0A532AD36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42861</xdr:rowOff>
    </xdr:from>
    <xdr:to>
      <xdr:col>21</xdr:col>
      <xdr:colOff>400049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48201C-CF20-C88F-0C28-D5FBED986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752475</xdr:colOff>
      <xdr:row>19</xdr:row>
      <xdr:rowOff>185737</xdr:rowOff>
    </xdr:from>
    <xdr:to>
      <xdr:col>15</xdr:col>
      <xdr:colOff>752475</xdr:colOff>
      <xdr:row>26</xdr:row>
      <xdr:rowOff>328612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2A855F-EE81-721E-DC28-9B5DC8637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552451</xdr:colOff>
      <xdr:row>34</xdr:row>
      <xdr:rowOff>0</xdr:rowOff>
    </xdr:from>
    <xdr:to>
      <xdr:col>8</xdr:col>
      <xdr:colOff>628650</xdr:colOff>
      <xdr:row>52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FFC760-DAD0-4510-937B-43ADFD6A6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9431-7263-42AD-87BC-0ABB7ABCF334}">
  <dimension ref="B1:M57"/>
  <sheetViews>
    <sheetView zoomScale="82" zoomScaleNormal="82" workbookViewId="0">
      <selection activeCell="C3" sqref="C3"/>
    </sheetView>
  </sheetViews>
  <sheetFormatPr baseColWidth="10" defaultRowHeight="15" x14ac:dyDescent="0.25"/>
  <cols>
    <col min="3" max="12" width="17.140625" customWidth="1"/>
  </cols>
  <sheetData>
    <row r="1" spans="2:5" ht="15.75" thickBot="1" x14ac:dyDescent="0.3"/>
    <row r="2" spans="2:5" x14ac:dyDescent="0.25">
      <c r="B2" s="1" t="s">
        <v>0</v>
      </c>
      <c r="C2" s="6" t="s">
        <v>7</v>
      </c>
    </row>
    <row r="3" spans="2:5" x14ac:dyDescent="0.25">
      <c r="B3" s="4" t="s">
        <v>1</v>
      </c>
      <c r="C3" s="3">
        <v>225</v>
      </c>
    </row>
    <row r="4" spans="2:5" x14ac:dyDescent="0.25">
      <c r="B4" s="4" t="s">
        <v>2</v>
      </c>
      <c r="C4" s="3">
        <v>240</v>
      </c>
    </row>
    <row r="5" spans="2:5" x14ac:dyDescent="0.25">
      <c r="B5" s="4" t="s">
        <v>3</v>
      </c>
      <c r="C5" s="3">
        <v>245</v>
      </c>
    </row>
    <row r="6" spans="2:5" x14ac:dyDescent="0.25">
      <c r="B6" s="4" t="s">
        <v>4</v>
      </c>
      <c r="C6" s="3">
        <v>230</v>
      </c>
    </row>
    <row r="7" spans="2:5" ht="15.75" thickBot="1" x14ac:dyDescent="0.3">
      <c r="B7" s="8" t="s">
        <v>5</v>
      </c>
      <c r="C7" s="7">
        <f>AVERAGE(C3:C6)</f>
        <v>235</v>
      </c>
    </row>
    <row r="13" spans="2:5" ht="15.75" thickBot="1" x14ac:dyDescent="0.3"/>
    <row r="14" spans="2:5" x14ac:dyDescent="0.25">
      <c r="B14" s="1" t="s">
        <v>0</v>
      </c>
      <c r="C14" s="11" t="s">
        <v>24</v>
      </c>
      <c r="D14" s="11" t="s">
        <v>25</v>
      </c>
      <c r="E14" s="11" t="s">
        <v>26</v>
      </c>
    </row>
    <row r="15" spans="2:5" x14ac:dyDescent="0.25">
      <c r="B15" s="4" t="s">
        <v>21</v>
      </c>
      <c r="C15" s="2">
        <v>10</v>
      </c>
      <c r="D15" s="2">
        <v>12</v>
      </c>
      <c r="E15" s="2">
        <v>14</v>
      </c>
    </row>
    <row r="16" spans="2:5" x14ac:dyDescent="0.25">
      <c r="B16" s="4" t="s">
        <v>21</v>
      </c>
      <c r="C16" s="2">
        <v>8</v>
      </c>
      <c r="D16" s="2">
        <v>13</v>
      </c>
      <c r="E16" s="2">
        <v>17</v>
      </c>
    </row>
    <row r="17" spans="2:5" x14ac:dyDescent="0.25">
      <c r="B17" s="4" t="s">
        <v>21</v>
      </c>
      <c r="C17" s="2">
        <v>9</v>
      </c>
      <c r="D17" s="2">
        <v>12</v>
      </c>
      <c r="E17" s="2">
        <v>14</v>
      </c>
    </row>
    <row r="18" spans="2:5" x14ac:dyDescent="0.25">
      <c r="B18" s="4" t="s">
        <v>21</v>
      </c>
      <c r="C18" s="2">
        <v>11</v>
      </c>
      <c r="D18" s="2">
        <v>11</v>
      </c>
      <c r="E18" s="2">
        <v>15</v>
      </c>
    </row>
    <row r="19" spans="2:5" ht="15.75" thickBot="1" x14ac:dyDescent="0.3">
      <c r="B19" s="8" t="s">
        <v>5</v>
      </c>
      <c r="C19" s="7">
        <f>AVERAGE(C15:C18)</f>
        <v>9.5</v>
      </c>
      <c r="D19" s="7">
        <f>AVERAGE(D15:D18)</f>
        <v>12</v>
      </c>
      <c r="E19" s="7">
        <f>AVERAGE(E15:E18)</f>
        <v>15</v>
      </c>
    </row>
    <row r="20" spans="2:5" x14ac:dyDescent="0.25">
      <c r="B20" s="9"/>
      <c r="C20" s="10"/>
      <c r="D20" s="10"/>
      <c r="E20" s="10"/>
    </row>
    <row r="21" spans="2:5" x14ac:dyDescent="0.25">
      <c r="B21" s="9"/>
      <c r="C21" s="10"/>
      <c r="D21" s="10"/>
      <c r="E21" s="10"/>
    </row>
    <row r="22" spans="2:5" x14ac:dyDescent="0.25">
      <c r="B22" s="9"/>
      <c r="C22" s="10"/>
      <c r="D22" s="10"/>
      <c r="E22" s="10"/>
    </row>
    <row r="23" spans="2:5" x14ac:dyDescent="0.25">
      <c r="C23" s="10"/>
    </row>
    <row r="24" spans="2:5" x14ac:dyDescent="0.25">
      <c r="C24" s="10"/>
    </row>
    <row r="25" spans="2:5" ht="15.75" thickBot="1" x14ac:dyDescent="0.3"/>
    <row r="26" spans="2:5" x14ac:dyDescent="0.25">
      <c r="B26" s="1" t="s">
        <v>0</v>
      </c>
      <c r="C26" s="11" t="s">
        <v>24</v>
      </c>
      <c r="D26" s="11" t="s">
        <v>25</v>
      </c>
      <c r="E26" s="11" t="s">
        <v>26</v>
      </c>
    </row>
    <row r="27" spans="2:5" x14ac:dyDescent="0.25">
      <c r="B27" s="4" t="s">
        <v>22</v>
      </c>
      <c r="C27" s="2">
        <v>12</v>
      </c>
      <c r="D27" s="2">
        <v>6</v>
      </c>
      <c r="E27" s="2">
        <v>14</v>
      </c>
    </row>
    <row r="28" spans="2:5" x14ac:dyDescent="0.25">
      <c r="B28" s="4" t="s">
        <v>22</v>
      </c>
      <c r="C28" s="2">
        <v>13</v>
      </c>
      <c r="D28" s="2">
        <v>8</v>
      </c>
      <c r="E28" s="2">
        <v>12</v>
      </c>
    </row>
    <row r="29" spans="2:5" x14ac:dyDescent="0.25">
      <c r="B29" s="4" t="s">
        <v>22</v>
      </c>
      <c r="C29" s="2">
        <v>11</v>
      </c>
      <c r="D29" s="2">
        <v>7</v>
      </c>
      <c r="E29" s="2">
        <v>13</v>
      </c>
    </row>
    <row r="30" spans="2:5" x14ac:dyDescent="0.25">
      <c r="B30" s="4" t="s">
        <v>22</v>
      </c>
      <c r="C30" s="2">
        <v>11</v>
      </c>
      <c r="D30" s="2">
        <v>6</v>
      </c>
      <c r="E30" s="2">
        <v>15</v>
      </c>
    </row>
    <row r="31" spans="2:5" ht="15.75" thickBot="1" x14ac:dyDescent="0.3">
      <c r="B31" s="8" t="s">
        <v>5</v>
      </c>
      <c r="C31" s="12">
        <f>AVERAGE(C27:C30)</f>
        <v>11.75</v>
      </c>
      <c r="D31" s="12">
        <f>AVERAGE(D27:D30)</f>
        <v>6.75</v>
      </c>
      <c r="E31" s="12">
        <f>AVERAGE(E27:E30)</f>
        <v>13.5</v>
      </c>
    </row>
    <row r="38" spans="2:5" ht="15.75" thickBot="1" x14ac:dyDescent="0.3"/>
    <row r="39" spans="2:5" x14ac:dyDescent="0.25">
      <c r="B39" s="21" t="s">
        <v>0</v>
      </c>
      <c r="C39" s="22" t="s">
        <v>24</v>
      </c>
      <c r="D39" s="22" t="s">
        <v>25</v>
      </c>
      <c r="E39" s="27" t="s">
        <v>26</v>
      </c>
    </row>
    <row r="40" spans="2:5" x14ac:dyDescent="0.25">
      <c r="B40" s="23" t="s">
        <v>23</v>
      </c>
      <c r="C40" s="24">
        <v>17</v>
      </c>
      <c r="D40" s="24">
        <v>15</v>
      </c>
      <c r="E40" s="28">
        <v>11</v>
      </c>
    </row>
    <row r="41" spans="2:5" x14ac:dyDescent="0.25">
      <c r="B41" s="23" t="s">
        <v>23</v>
      </c>
      <c r="C41" s="24">
        <v>18</v>
      </c>
      <c r="D41" s="24">
        <v>12</v>
      </c>
      <c r="E41" s="28">
        <v>13</v>
      </c>
    </row>
    <row r="42" spans="2:5" x14ac:dyDescent="0.25">
      <c r="B42" s="23" t="s">
        <v>23</v>
      </c>
      <c r="C42" s="24">
        <v>16</v>
      </c>
      <c r="D42" s="24">
        <v>13</v>
      </c>
      <c r="E42" s="28">
        <v>12</v>
      </c>
    </row>
    <row r="43" spans="2:5" x14ac:dyDescent="0.25">
      <c r="B43" s="23" t="s">
        <v>23</v>
      </c>
      <c r="C43" s="24">
        <v>15</v>
      </c>
      <c r="D43" s="24">
        <v>14</v>
      </c>
      <c r="E43" s="28">
        <v>14</v>
      </c>
    </row>
    <row r="44" spans="2:5" ht="15.75" thickBot="1" x14ac:dyDescent="0.3">
      <c r="B44" s="25" t="s">
        <v>5</v>
      </c>
      <c r="C44" s="26">
        <f>AVERAGE(C40:C43)</f>
        <v>16.5</v>
      </c>
      <c r="D44" s="26">
        <f>AVERAGE(D40:D43)</f>
        <v>13.5</v>
      </c>
      <c r="E44" s="29">
        <f>AVERAGE(E40:E43)</f>
        <v>12.5</v>
      </c>
    </row>
    <row r="51" spans="2:13" ht="15.75" thickBot="1" x14ac:dyDescent="0.3"/>
    <row r="52" spans="2:13" x14ac:dyDescent="0.25">
      <c r="B52" s="1" t="s">
        <v>0</v>
      </c>
      <c r="C52" s="6" t="s">
        <v>7</v>
      </c>
      <c r="D52" s="6" t="s">
        <v>8</v>
      </c>
      <c r="E52" s="6" t="s">
        <v>15</v>
      </c>
      <c r="F52" s="6" t="s">
        <v>16</v>
      </c>
      <c r="G52" s="6" t="s">
        <v>11</v>
      </c>
      <c r="H52" s="6" t="s">
        <v>9</v>
      </c>
      <c r="I52" s="6" t="s">
        <v>12</v>
      </c>
      <c r="J52" s="6" t="s">
        <v>13</v>
      </c>
      <c r="K52" s="6" t="s">
        <v>14</v>
      </c>
      <c r="L52" s="6" t="s">
        <v>10</v>
      </c>
    </row>
    <row r="53" spans="2:13" x14ac:dyDescent="0.25">
      <c r="B53" s="4" t="s">
        <v>1</v>
      </c>
      <c r="C53" s="3">
        <v>225</v>
      </c>
      <c r="D53" s="2">
        <v>10</v>
      </c>
      <c r="E53" s="2">
        <v>12</v>
      </c>
      <c r="F53" s="2">
        <v>14</v>
      </c>
      <c r="G53" s="2">
        <v>12</v>
      </c>
      <c r="H53" s="2">
        <v>6</v>
      </c>
      <c r="I53" s="2">
        <v>14</v>
      </c>
      <c r="J53" s="2">
        <v>17</v>
      </c>
      <c r="K53" s="2">
        <v>15</v>
      </c>
      <c r="L53" s="2">
        <v>11</v>
      </c>
      <c r="M53" s="5"/>
    </row>
    <row r="54" spans="2:13" x14ac:dyDescent="0.25">
      <c r="B54" s="4" t="s">
        <v>2</v>
      </c>
      <c r="C54" s="3">
        <v>240</v>
      </c>
      <c r="D54" s="2">
        <v>8</v>
      </c>
      <c r="E54" s="2">
        <v>13</v>
      </c>
      <c r="F54" s="2">
        <v>17</v>
      </c>
      <c r="G54" s="2">
        <v>13</v>
      </c>
      <c r="H54" s="2">
        <v>8</v>
      </c>
      <c r="I54" s="2">
        <v>12</v>
      </c>
      <c r="J54" s="2">
        <v>18</v>
      </c>
      <c r="K54" s="2">
        <v>12</v>
      </c>
      <c r="L54" s="2">
        <v>13</v>
      </c>
      <c r="M54" s="5"/>
    </row>
    <row r="55" spans="2:13" x14ac:dyDescent="0.25">
      <c r="B55" s="4" t="s">
        <v>3</v>
      </c>
      <c r="C55" s="3">
        <v>245</v>
      </c>
      <c r="D55" s="2">
        <v>9</v>
      </c>
      <c r="E55" s="2">
        <v>12</v>
      </c>
      <c r="F55" s="2">
        <v>14</v>
      </c>
      <c r="G55" s="2">
        <v>11</v>
      </c>
      <c r="H55" s="2">
        <v>7</v>
      </c>
      <c r="I55" s="2">
        <v>13</v>
      </c>
      <c r="J55" s="2">
        <v>16</v>
      </c>
      <c r="K55" s="2">
        <v>13</v>
      </c>
      <c r="L55" s="2">
        <v>12</v>
      </c>
      <c r="M55" s="5"/>
    </row>
    <row r="56" spans="2:13" x14ac:dyDescent="0.25">
      <c r="B56" s="4" t="s">
        <v>4</v>
      </c>
      <c r="C56" s="3">
        <v>230</v>
      </c>
      <c r="D56" s="2">
        <v>11</v>
      </c>
      <c r="E56" s="2">
        <v>11</v>
      </c>
      <c r="F56" s="2">
        <v>15</v>
      </c>
      <c r="G56" s="2">
        <v>11</v>
      </c>
      <c r="H56" s="2">
        <v>6</v>
      </c>
      <c r="I56" s="2">
        <v>15</v>
      </c>
      <c r="J56" s="2">
        <v>15</v>
      </c>
      <c r="K56" s="2">
        <v>14</v>
      </c>
      <c r="L56" s="2">
        <v>14</v>
      </c>
      <c r="M56" s="5"/>
    </row>
    <row r="57" spans="2:13" ht="15.75" thickBot="1" x14ac:dyDescent="0.3">
      <c r="B57" s="8" t="s">
        <v>5</v>
      </c>
      <c r="C57" s="7">
        <f t="shared" ref="C57:L57" si="0">AVERAGE(C53:C56)</f>
        <v>235</v>
      </c>
      <c r="D57" s="7">
        <f t="shared" si="0"/>
        <v>9.5</v>
      </c>
      <c r="E57" s="7">
        <f t="shared" si="0"/>
        <v>12</v>
      </c>
      <c r="F57" s="7">
        <f t="shared" si="0"/>
        <v>15</v>
      </c>
      <c r="G57" s="7">
        <f t="shared" si="0"/>
        <v>11.75</v>
      </c>
      <c r="H57" s="7">
        <f t="shared" si="0"/>
        <v>6.75</v>
      </c>
      <c r="I57" s="7">
        <f t="shared" si="0"/>
        <v>13.5</v>
      </c>
      <c r="J57" s="7">
        <f t="shared" si="0"/>
        <v>16.5</v>
      </c>
      <c r="K57" s="7">
        <f t="shared" si="0"/>
        <v>13.5</v>
      </c>
      <c r="L57" s="7">
        <f t="shared" si="0"/>
        <v>12.5</v>
      </c>
      <c r="M57" s="5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DBEA-179A-4183-ABB2-8783D0A5E753}">
  <dimension ref="B1:L59"/>
  <sheetViews>
    <sheetView topLeftCell="A3" zoomScale="87" zoomScaleNormal="87" workbookViewId="0">
      <selection activeCell="E22" sqref="E22"/>
    </sheetView>
  </sheetViews>
  <sheetFormatPr baseColWidth="10" defaultRowHeight="15" x14ac:dyDescent="0.25"/>
  <cols>
    <col min="3" max="12" width="16.140625" customWidth="1"/>
  </cols>
  <sheetData>
    <row r="1" spans="2:5" ht="15.75" thickBot="1" x14ac:dyDescent="0.3"/>
    <row r="2" spans="2:5" x14ac:dyDescent="0.25">
      <c r="B2" s="1" t="s">
        <v>0</v>
      </c>
      <c r="C2" s="6" t="s">
        <v>7</v>
      </c>
    </row>
    <row r="3" spans="2:5" x14ac:dyDescent="0.25">
      <c r="B3" s="4" t="s">
        <v>1</v>
      </c>
      <c r="C3" s="3">
        <v>247</v>
      </c>
    </row>
    <row r="4" spans="2:5" x14ac:dyDescent="0.25">
      <c r="B4" s="4" t="s">
        <v>2</v>
      </c>
      <c r="C4" s="3">
        <v>245</v>
      </c>
    </row>
    <row r="5" spans="2:5" x14ac:dyDescent="0.25">
      <c r="B5" s="4" t="s">
        <v>3</v>
      </c>
      <c r="C5" s="3">
        <v>236</v>
      </c>
    </row>
    <row r="6" spans="2:5" x14ac:dyDescent="0.25">
      <c r="B6" s="4" t="s">
        <v>4</v>
      </c>
      <c r="C6" s="3">
        <v>233</v>
      </c>
    </row>
    <row r="7" spans="2:5" ht="15.75" thickBot="1" x14ac:dyDescent="0.3">
      <c r="B7" s="8" t="s">
        <v>5</v>
      </c>
      <c r="C7" s="7">
        <f>AVERAGE(C3:C6)</f>
        <v>240.25</v>
      </c>
    </row>
    <row r="15" spans="2:5" ht="15.75" thickBot="1" x14ac:dyDescent="0.3"/>
    <row r="16" spans="2:5" x14ac:dyDescent="0.25">
      <c r="B16" s="1" t="s">
        <v>0</v>
      </c>
      <c r="C16" s="11" t="s">
        <v>24</v>
      </c>
      <c r="D16" s="11" t="s">
        <v>25</v>
      </c>
      <c r="E16" s="11" t="s">
        <v>26</v>
      </c>
    </row>
    <row r="17" spans="2:12" x14ac:dyDescent="0.25">
      <c r="B17" s="4" t="s">
        <v>21</v>
      </c>
      <c r="C17" s="2">
        <v>13</v>
      </c>
      <c r="D17" s="2">
        <v>16</v>
      </c>
      <c r="E17" s="2">
        <v>17</v>
      </c>
    </row>
    <row r="18" spans="2:12" x14ac:dyDescent="0.25">
      <c r="B18" s="4" t="s">
        <v>21</v>
      </c>
      <c r="C18" s="2">
        <v>10</v>
      </c>
      <c r="D18" s="2">
        <v>17</v>
      </c>
      <c r="E18" s="2">
        <v>19</v>
      </c>
    </row>
    <row r="19" spans="2:12" x14ac:dyDescent="0.25">
      <c r="B19" s="4" t="s">
        <v>21</v>
      </c>
      <c r="C19" s="2">
        <v>12</v>
      </c>
      <c r="D19" s="2">
        <v>15</v>
      </c>
      <c r="E19" s="2">
        <v>20</v>
      </c>
    </row>
    <row r="20" spans="2:12" x14ac:dyDescent="0.25">
      <c r="B20" s="4" t="s">
        <v>21</v>
      </c>
      <c r="C20" s="2">
        <v>11</v>
      </c>
      <c r="D20" s="2">
        <v>17</v>
      </c>
      <c r="E20" s="2">
        <v>18</v>
      </c>
    </row>
    <row r="21" spans="2:12" ht="15.75" thickBot="1" x14ac:dyDescent="0.3">
      <c r="B21" s="8" t="s">
        <v>5</v>
      </c>
      <c r="C21" s="12">
        <f>AVERAGE(C17:C20)</f>
        <v>11.5</v>
      </c>
      <c r="D21" s="12">
        <f>AVERAGE(D17:D20)</f>
        <v>16.25</v>
      </c>
      <c r="E21" s="12">
        <f>AVERAGE(E17:E20)</f>
        <v>18.5</v>
      </c>
    </row>
    <row r="22" spans="2:12" x14ac:dyDescent="0.25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x14ac:dyDescent="0.25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2:12" x14ac:dyDescent="0.25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7" spans="2:12" ht="15.75" thickBot="1" x14ac:dyDescent="0.3"/>
    <row r="28" spans="2:12" x14ac:dyDescent="0.25">
      <c r="B28" s="1" t="s">
        <v>0</v>
      </c>
      <c r="C28" s="11" t="s">
        <v>24</v>
      </c>
      <c r="D28" s="11" t="s">
        <v>25</v>
      </c>
      <c r="E28" s="11" t="s">
        <v>26</v>
      </c>
    </row>
    <row r="29" spans="2:12" x14ac:dyDescent="0.25">
      <c r="B29" s="4" t="s">
        <v>22</v>
      </c>
      <c r="C29" s="2">
        <v>10</v>
      </c>
      <c r="D29" s="2">
        <v>6</v>
      </c>
      <c r="E29" s="2">
        <v>15</v>
      </c>
    </row>
    <row r="30" spans="2:12" x14ac:dyDescent="0.25">
      <c r="B30" s="4" t="s">
        <v>22</v>
      </c>
      <c r="C30" s="2">
        <v>11</v>
      </c>
      <c r="D30" s="2">
        <v>5</v>
      </c>
      <c r="E30" s="2">
        <v>15</v>
      </c>
    </row>
    <row r="31" spans="2:12" x14ac:dyDescent="0.25">
      <c r="B31" s="4" t="s">
        <v>22</v>
      </c>
      <c r="C31" s="2">
        <v>10</v>
      </c>
      <c r="D31" s="2">
        <v>7</v>
      </c>
      <c r="E31" s="2">
        <v>16</v>
      </c>
    </row>
    <row r="32" spans="2:12" x14ac:dyDescent="0.25">
      <c r="B32" s="4" t="s">
        <v>22</v>
      </c>
      <c r="C32" s="2">
        <v>14</v>
      </c>
      <c r="D32" s="2">
        <v>6</v>
      </c>
      <c r="E32" s="2">
        <v>13</v>
      </c>
    </row>
    <row r="33" spans="2:5" ht="15.75" thickBot="1" x14ac:dyDescent="0.3">
      <c r="B33" s="8" t="s">
        <v>5</v>
      </c>
      <c r="C33" s="12">
        <f>AVERAGE(C29:C32)</f>
        <v>11.25</v>
      </c>
      <c r="D33" s="12">
        <f t="shared" ref="D33:E33" si="0">AVERAGE(D29:D32)</f>
        <v>6</v>
      </c>
      <c r="E33" s="12">
        <f t="shared" si="0"/>
        <v>14.75</v>
      </c>
    </row>
    <row r="40" spans="2:5" ht="15.75" thickBot="1" x14ac:dyDescent="0.3"/>
    <row r="41" spans="2:5" x14ac:dyDescent="0.25">
      <c r="B41" s="1" t="s">
        <v>0</v>
      </c>
      <c r="C41" s="11" t="s">
        <v>24</v>
      </c>
      <c r="D41" s="11" t="s">
        <v>25</v>
      </c>
      <c r="E41" s="11" t="s">
        <v>26</v>
      </c>
    </row>
    <row r="42" spans="2:5" x14ac:dyDescent="0.25">
      <c r="B42" s="4" t="s">
        <v>23</v>
      </c>
      <c r="C42" s="2">
        <v>17</v>
      </c>
      <c r="D42" s="2">
        <v>11</v>
      </c>
      <c r="E42" s="2">
        <v>11</v>
      </c>
    </row>
    <row r="43" spans="2:5" x14ac:dyDescent="0.25">
      <c r="B43" s="4" t="s">
        <v>23</v>
      </c>
      <c r="C43" s="2">
        <v>17</v>
      </c>
      <c r="D43" s="2">
        <v>15</v>
      </c>
      <c r="E43" s="2">
        <v>13</v>
      </c>
    </row>
    <row r="44" spans="2:5" x14ac:dyDescent="0.25">
      <c r="B44" s="4" t="s">
        <v>23</v>
      </c>
      <c r="C44" s="2">
        <v>19</v>
      </c>
      <c r="D44" s="2">
        <v>12</v>
      </c>
      <c r="E44" s="2">
        <v>10</v>
      </c>
    </row>
    <row r="45" spans="2:5" x14ac:dyDescent="0.25">
      <c r="B45" s="4" t="s">
        <v>23</v>
      </c>
      <c r="C45" s="2">
        <v>15</v>
      </c>
      <c r="D45" s="2">
        <v>14</v>
      </c>
      <c r="E45" s="2">
        <v>14</v>
      </c>
    </row>
    <row r="46" spans="2:5" ht="15.75" thickBot="1" x14ac:dyDescent="0.3">
      <c r="B46" s="8" t="s">
        <v>5</v>
      </c>
      <c r="C46" s="12">
        <f>AVERAGE(C42:C45)</f>
        <v>17</v>
      </c>
      <c r="D46" s="12">
        <f>AVERAGE(D42:D45)</f>
        <v>13</v>
      </c>
      <c r="E46" s="12">
        <f>AVERAGE(E42:E45)</f>
        <v>12</v>
      </c>
    </row>
    <row r="53" spans="2:12" ht="15.75" thickBot="1" x14ac:dyDescent="0.3"/>
    <row r="54" spans="2:12" x14ac:dyDescent="0.25">
      <c r="B54" s="1" t="s">
        <v>0</v>
      </c>
      <c r="C54" s="6" t="s">
        <v>7</v>
      </c>
      <c r="D54" s="11" t="s">
        <v>8</v>
      </c>
      <c r="E54" s="11" t="s">
        <v>15</v>
      </c>
      <c r="F54" s="11" t="s">
        <v>16</v>
      </c>
      <c r="G54" s="11" t="s">
        <v>11</v>
      </c>
      <c r="H54" s="11" t="s">
        <v>9</v>
      </c>
      <c r="I54" s="11" t="s">
        <v>12</v>
      </c>
      <c r="J54" s="11" t="s">
        <v>13</v>
      </c>
      <c r="K54" s="11" t="s">
        <v>14</v>
      </c>
      <c r="L54" s="11" t="s">
        <v>10</v>
      </c>
    </row>
    <row r="55" spans="2:12" x14ac:dyDescent="0.25">
      <c r="B55" s="4" t="s">
        <v>1</v>
      </c>
      <c r="C55" s="3">
        <v>247</v>
      </c>
      <c r="D55" s="2">
        <v>13</v>
      </c>
      <c r="E55" s="2">
        <v>16</v>
      </c>
      <c r="F55" s="2">
        <v>17</v>
      </c>
      <c r="G55" s="2">
        <v>10</v>
      </c>
      <c r="H55" s="2">
        <v>6</v>
      </c>
      <c r="I55" s="2">
        <v>15</v>
      </c>
      <c r="J55" s="2">
        <v>17</v>
      </c>
      <c r="K55" s="2">
        <v>11</v>
      </c>
      <c r="L55" s="2">
        <v>11</v>
      </c>
    </row>
    <row r="56" spans="2:12" x14ac:dyDescent="0.25">
      <c r="B56" s="4" t="s">
        <v>2</v>
      </c>
      <c r="C56" s="3">
        <v>245</v>
      </c>
      <c r="D56" s="2">
        <v>10</v>
      </c>
      <c r="E56" s="2">
        <v>17</v>
      </c>
      <c r="F56" s="2">
        <v>19</v>
      </c>
      <c r="G56" s="2">
        <v>11</v>
      </c>
      <c r="H56" s="2">
        <v>5</v>
      </c>
      <c r="I56" s="2">
        <v>15</v>
      </c>
      <c r="J56" s="2">
        <v>17</v>
      </c>
      <c r="K56" s="2">
        <v>15</v>
      </c>
      <c r="L56" s="2">
        <v>13</v>
      </c>
    </row>
    <row r="57" spans="2:12" x14ac:dyDescent="0.25">
      <c r="B57" s="4" t="s">
        <v>3</v>
      </c>
      <c r="C57" s="3">
        <v>236</v>
      </c>
      <c r="D57" s="2">
        <v>12</v>
      </c>
      <c r="E57" s="2">
        <v>15</v>
      </c>
      <c r="F57" s="2">
        <v>20</v>
      </c>
      <c r="G57" s="2">
        <v>10</v>
      </c>
      <c r="H57" s="2">
        <v>7</v>
      </c>
      <c r="I57" s="2">
        <v>16</v>
      </c>
      <c r="J57" s="2">
        <v>19</v>
      </c>
      <c r="K57" s="2">
        <v>12</v>
      </c>
      <c r="L57" s="2">
        <v>10</v>
      </c>
    </row>
    <row r="58" spans="2:12" x14ac:dyDescent="0.25">
      <c r="B58" s="4" t="s">
        <v>4</v>
      </c>
      <c r="C58" s="3">
        <v>233</v>
      </c>
      <c r="D58" s="2">
        <v>11</v>
      </c>
      <c r="E58" s="2">
        <v>17</v>
      </c>
      <c r="F58" s="2">
        <v>18</v>
      </c>
      <c r="G58" s="2">
        <v>14</v>
      </c>
      <c r="H58" s="2">
        <v>6</v>
      </c>
      <c r="I58" s="2">
        <v>13</v>
      </c>
      <c r="J58" s="2">
        <v>15</v>
      </c>
      <c r="K58" s="2">
        <v>14</v>
      </c>
      <c r="L58" s="2">
        <v>14</v>
      </c>
    </row>
    <row r="59" spans="2:12" ht="15.75" thickBot="1" x14ac:dyDescent="0.3">
      <c r="B59" s="8" t="s">
        <v>5</v>
      </c>
      <c r="C59" s="7">
        <f t="shared" ref="C59:L59" si="1">AVERAGE(C55:C58)</f>
        <v>240.25</v>
      </c>
      <c r="D59" s="12">
        <f t="shared" si="1"/>
        <v>11.5</v>
      </c>
      <c r="E59" s="12">
        <f t="shared" si="1"/>
        <v>16.25</v>
      </c>
      <c r="F59" s="12">
        <f t="shared" si="1"/>
        <v>18.5</v>
      </c>
      <c r="G59" s="12">
        <f t="shared" si="1"/>
        <v>11.25</v>
      </c>
      <c r="H59" s="12">
        <f t="shared" si="1"/>
        <v>6</v>
      </c>
      <c r="I59" s="12">
        <f t="shared" si="1"/>
        <v>14.75</v>
      </c>
      <c r="J59" s="12">
        <f t="shared" si="1"/>
        <v>17</v>
      </c>
      <c r="K59" s="12">
        <f t="shared" si="1"/>
        <v>13</v>
      </c>
      <c r="L59" s="12">
        <f t="shared" si="1"/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DF66-D92E-4AFA-AEED-B9E6A2B4282D}">
  <dimension ref="B1:H30"/>
  <sheetViews>
    <sheetView workbookViewId="0">
      <selection activeCell="D7" sqref="D7"/>
    </sheetView>
  </sheetViews>
  <sheetFormatPr baseColWidth="10" defaultRowHeight="15" x14ac:dyDescent="0.25"/>
  <cols>
    <col min="2" max="2" width="12.5703125" customWidth="1"/>
    <col min="7" max="7" width="14.28515625" customWidth="1"/>
    <col min="8" max="8" width="15.85546875" style="18" customWidth="1"/>
  </cols>
  <sheetData>
    <row r="1" spans="2:8" x14ac:dyDescent="0.25">
      <c r="D1" t="s">
        <v>51</v>
      </c>
    </row>
    <row r="2" spans="2:8" ht="31.5" x14ac:dyDescent="0.25">
      <c r="B2" s="13" t="s">
        <v>18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6</v>
      </c>
      <c r="H2" s="16" t="s">
        <v>20</v>
      </c>
    </row>
    <row r="3" spans="2:8" ht="15.75" x14ac:dyDescent="0.25">
      <c r="B3" s="14" t="s">
        <v>7</v>
      </c>
      <c r="C3" s="15">
        <v>225</v>
      </c>
      <c r="D3" s="15">
        <v>240</v>
      </c>
      <c r="E3" s="15">
        <v>245</v>
      </c>
      <c r="F3" s="15">
        <v>230</v>
      </c>
      <c r="G3" s="15">
        <f t="shared" ref="G3:G12" si="0">AVERAGE(C3:F3)</f>
        <v>235</v>
      </c>
      <c r="H3" s="17">
        <v>0</v>
      </c>
    </row>
    <row r="4" spans="2:8" ht="31.5" x14ac:dyDescent="0.25">
      <c r="B4" s="14" t="s">
        <v>8</v>
      </c>
      <c r="C4" s="15">
        <v>10</v>
      </c>
      <c r="D4" s="15">
        <v>8</v>
      </c>
      <c r="E4" s="15">
        <v>9</v>
      </c>
      <c r="F4" s="15">
        <v>11</v>
      </c>
      <c r="G4" s="15">
        <f t="shared" si="0"/>
        <v>9.5</v>
      </c>
      <c r="H4" s="17">
        <f>100-(G4/G3)*100</f>
        <v>95.957446808510639</v>
      </c>
    </row>
    <row r="5" spans="2:8" ht="31.5" x14ac:dyDescent="0.25">
      <c r="B5" s="14" t="s">
        <v>15</v>
      </c>
      <c r="C5" s="15">
        <v>12</v>
      </c>
      <c r="D5" s="15">
        <v>13</v>
      </c>
      <c r="E5" s="15">
        <v>12</v>
      </c>
      <c r="F5" s="15">
        <v>11</v>
      </c>
      <c r="G5" s="15">
        <f t="shared" si="0"/>
        <v>12</v>
      </c>
      <c r="H5" s="17">
        <f>100-(G5/G3)*100</f>
        <v>94.893617021276597</v>
      </c>
    </row>
    <row r="6" spans="2:8" ht="31.5" x14ac:dyDescent="0.25">
      <c r="B6" s="14" t="s">
        <v>16</v>
      </c>
      <c r="C6" s="15">
        <v>14</v>
      </c>
      <c r="D6" s="15">
        <v>17</v>
      </c>
      <c r="E6" s="15">
        <v>14</v>
      </c>
      <c r="F6" s="15">
        <v>15</v>
      </c>
      <c r="G6" s="15">
        <f t="shared" si="0"/>
        <v>15</v>
      </c>
      <c r="H6" s="17">
        <f>100-(G6/G3)*100</f>
        <v>93.61702127659575</v>
      </c>
    </row>
    <row r="7" spans="2:8" ht="31.5" x14ac:dyDescent="0.25">
      <c r="B7" s="14" t="s">
        <v>11</v>
      </c>
      <c r="C7" s="15">
        <v>12</v>
      </c>
      <c r="D7" s="15">
        <v>13</v>
      </c>
      <c r="E7" s="15">
        <v>11</v>
      </c>
      <c r="F7" s="15">
        <v>11</v>
      </c>
      <c r="G7" s="15">
        <f t="shared" si="0"/>
        <v>11.75</v>
      </c>
      <c r="H7" s="17">
        <f>100-(G7/G3)*100</f>
        <v>95</v>
      </c>
    </row>
    <row r="8" spans="2:8" ht="31.5" x14ac:dyDescent="0.25">
      <c r="B8" s="14" t="s">
        <v>9</v>
      </c>
      <c r="C8" s="15">
        <v>6</v>
      </c>
      <c r="D8" s="15">
        <v>8</v>
      </c>
      <c r="E8" s="15">
        <v>7</v>
      </c>
      <c r="F8" s="15">
        <v>6</v>
      </c>
      <c r="G8" s="15">
        <f t="shared" si="0"/>
        <v>6.75</v>
      </c>
      <c r="H8" s="17">
        <f>100-(G8/G3)*100</f>
        <v>97.127659574468083</v>
      </c>
    </row>
    <row r="9" spans="2:8" ht="31.5" x14ac:dyDescent="0.25">
      <c r="B9" s="14" t="s">
        <v>12</v>
      </c>
      <c r="C9" s="15">
        <v>14</v>
      </c>
      <c r="D9" s="15">
        <v>12</v>
      </c>
      <c r="E9" s="15">
        <v>13</v>
      </c>
      <c r="F9" s="15">
        <v>15</v>
      </c>
      <c r="G9" s="15">
        <f t="shared" si="0"/>
        <v>13.5</v>
      </c>
      <c r="H9" s="17">
        <f>100-(G9/G3)*100</f>
        <v>94.255319148936167</v>
      </c>
    </row>
    <row r="10" spans="2:8" ht="31.5" x14ac:dyDescent="0.25">
      <c r="B10" s="14" t="s">
        <v>13</v>
      </c>
      <c r="C10" s="15">
        <v>17</v>
      </c>
      <c r="D10" s="15">
        <v>18</v>
      </c>
      <c r="E10" s="15">
        <v>16</v>
      </c>
      <c r="F10" s="15">
        <v>15</v>
      </c>
      <c r="G10" s="15">
        <f t="shared" si="0"/>
        <v>16.5</v>
      </c>
      <c r="H10" s="17">
        <f>100-(G10/G3)*100</f>
        <v>92.978723404255319</v>
      </c>
    </row>
    <row r="11" spans="2:8" ht="31.5" x14ac:dyDescent="0.25">
      <c r="B11" s="14" t="s">
        <v>14</v>
      </c>
      <c r="C11" s="15">
        <v>15</v>
      </c>
      <c r="D11" s="15">
        <v>12</v>
      </c>
      <c r="E11" s="15">
        <v>13</v>
      </c>
      <c r="F11" s="15">
        <v>14</v>
      </c>
      <c r="G11" s="15">
        <f t="shared" si="0"/>
        <v>13.5</v>
      </c>
      <c r="H11" s="17">
        <f>100-(G11/G3)*100</f>
        <v>94.255319148936167</v>
      </c>
    </row>
    <row r="12" spans="2:8" ht="31.5" x14ac:dyDescent="0.25">
      <c r="B12" s="14" t="s">
        <v>10</v>
      </c>
      <c r="C12" s="15">
        <v>11</v>
      </c>
      <c r="D12" s="15">
        <v>13</v>
      </c>
      <c r="E12" s="15">
        <v>12</v>
      </c>
      <c r="F12" s="15">
        <v>14</v>
      </c>
      <c r="G12" s="15">
        <f t="shared" si="0"/>
        <v>12.5</v>
      </c>
      <c r="H12" s="17">
        <f>100-(G12/G3)*100</f>
        <v>94.680851063829792</v>
      </c>
    </row>
    <row r="13" spans="2:8" x14ac:dyDescent="0.25">
      <c r="H13"/>
    </row>
    <row r="14" spans="2:8" x14ac:dyDescent="0.25">
      <c r="H14"/>
    </row>
    <row r="16" spans="2:8" x14ac:dyDescent="0.25">
      <c r="B16">
        <f>12*100/235</f>
        <v>5.1063829787234045</v>
      </c>
    </row>
    <row r="17" spans="2:8" x14ac:dyDescent="0.25">
      <c r="C17">
        <v>100</v>
      </c>
      <c r="E17">
        <f>100-H17</f>
        <v>99.959574468085108</v>
      </c>
      <c r="H17" s="18">
        <f>G4/G3</f>
        <v>4.042553191489362E-2</v>
      </c>
    </row>
    <row r="18" spans="2:8" x14ac:dyDescent="0.25">
      <c r="C18">
        <f>C17-B16</f>
        <v>94.893617021276597</v>
      </c>
    </row>
    <row r="19" spans="2:8" x14ac:dyDescent="0.25">
      <c r="E19" t="s">
        <v>50</v>
      </c>
    </row>
    <row r="20" spans="2:8" ht="31.5" x14ac:dyDescent="0.25">
      <c r="B20" s="13" t="s">
        <v>18</v>
      </c>
      <c r="C20" s="13" t="s">
        <v>1</v>
      </c>
      <c r="D20" s="13" t="s">
        <v>2</v>
      </c>
      <c r="E20" s="13" t="s">
        <v>3</v>
      </c>
      <c r="F20" s="13" t="s">
        <v>4</v>
      </c>
      <c r="G20" s="13" t="s">
        <v>6</v>
      </c>
      <c r="H20" s="16" t="s">
        <v>17</v>
      </c>
    </row>
    <row r="21" spans="2:8" ht="15.75" x14ac:dyDescent="0.25">
      <c r="B21" s="14" t="s">
        <v>7</v>
      </c>
      <c r="C21" s="15">
        <v>247</v>
      </c>
      <c r="D21" s="15">
        <v>245</v>
      </c>
      <c r="E21" s="15">
        <v>236</v>
      </c>
      <c r="F21" s="15">
        <v>233</v>
      </c>
      <c r="G21" s="15">
        <f t="shared" ref="G21:G30" si="1">AVERAGE(C21:F21)</f>
        <v>240.25</v>
      </c>
      <c r="H21" s="19">
        <v>1</v>
      </c>
    </row>
    <row r="22" spans="2:8" ht="31.5" x14ac:dyDescent="0.25">
      <c r="B22" s="14" t="s">
        <v>8</v>
      </c>
      <c r="C22" s="15">
        <v>13</v>
      </c>
      <c r="D22" s="15">
        <v>10</v>
      </c>
      <c r="E22" s="15">
        <v>12</v>
      </c>
      <c r="F22" s="15">
        <v>11</v>
      </c>
      <c r="G22" s="15">
        <f t="shared" si="1"/>
        <v>11.5</v>
      </c>
      <c r="H22" s="20">
        <f>G22/$G$21</f>
        <v>4.7866805411030174E-2</v>
      </c>
    </row>
    <row r="23" spans="2:8" ht="31.5" x14ac:dyDescent="0.25">
      <c r="B23" s="14" t="s">
        <v>15</v>
      </c>
      <c r="C23" s="15">
        <v>16</v>
      </c>
      <c r="D23" s="15">
        <v>17</v>
      </c>
      <c r="E23" s="15">
        <v>15</v>
      </c>
      <c r="F23" s="15">
        <v>17</v>
      </c>
      <c r="G23" s="15">
        <f t="shared" si="1"/>
        <v>16.25</v>
      </c>
      <c r="H23" s="20">
        <f t="shared" ref="H23:H30" si="2">G23/$G$21</f>
        <v>6.763787721123829E-2</v>
      </c>
    </row>
    <row r="24" spans="2:8" ht="31.5" x14ac:dyDescent="0.25">
      <c r="B24" s="14" t="s">
        <v>16</v>
      </c>
      <c r="C24" s="15">
        <v>17</v>
      </c>
      <c r="D24" s="15">
        <v>19</v>
      </c>
      <c r="E24" s="15">
        <v>20</v>
      </c>
      <c r="F24" s="15">
        <v>18</v>
      </c>
      <c r="G24" s="15">
        <f t="shared" si="1"/>
        <v>18.5</v>
      </c>
      <c r="H24" s="20">
        <f t="shared" si="2"/>
        <v>7.7003121748178985E-2</v>
      </c>
    </row>
    <row r="25" spans="2:8" ht="31.5" x14ac:dyDescent="0.25">
      <c r="B25" s="14" t="s">
        <v>11</v>
      </c>
      <c r="C25" s="15">
        <v>10</v>
      </c>
      <c r="D25" s="15">
        <v>11</v>
      </c>
      <c r="E25" s="15">
        <v>10</v>
      </c>
      <c r="F25" s="15">
        <v>14</v>
      </c>
      <c r="G25" s="15">
        <f t="shared" si="1"/>
        <v>11.25</v>
      </c>
      <c r="H25" s="20">
        <f t="shared" si="2"/>
        <v>4.6826222684703434E-2</v>
      </c>
    </row>
    <row r="26" spans="2:8" ht="31.5" x14ac:dyDescent="0.25">
      <c r="B26" s="14" t="s">
        <v>9</v>
      </c>
      <c r="C26" s="15">
        <v>6</v>
      </c>
      <c r="D26" s="15">
        <v>5</v>
      </c>
      <c r="E26" s="15">
        <v>7</v>
      </c>
      <c r="F26" s="15">
        <v>6</v>
      </c>
      <c r="G26" s="15">
        <f t="shared" si="1"/>
        <v>6</v>
      </c>
      <c r="H26" s="20">
        <f t="shared" si="2"/>
        <v>2.497398543184183E-2</v>
      </c>
    </row>
    <row r="27" spans="2:8" ht="31.5" x14ac:dyDescent="0.25">
      <c r="B27" s="14" t="s">
        <v>12</v>
      </c>
      <c r="C27" s="15">
        <v>15</v>
      </c>
      <c r="D27" s="15">
        <v>15</v>
      </c>
      <c r="E27" s="15">
        <v>16</v>
      </c>
      <c r="F27" s="15">
        <v>13</v>
      </c>
      <c r="G27" s="15">
        <f t="shared" si="1"/>
        <v>14.75</v>
      </c>
      <c r="H27" s="20">
        <f t="shared" si="2"/>
        <v>6.1394380853277836E-2</v>
      </c>
    </row>
    <row r="28" spans="2:8" ht="31.5" x14ac:dyDescent="0.25">
      <c r="B28" s="14" t="s">
        <v>13</v>
      </c>
      <c r="C28" s="15">
        <v>17</v>
      </c>
      <c r="D28" s="15">
        <v>17</v>
      </c>
      <c r="E28" s="15">
        <v>19</v>
      </c>
      <c r="F28" s="15">
        <v>15</v>
      </c>
      <c r="G28" s="15">
        <f t="shared" si="1"/>
        <v>17</v>
      </c>
      <c r="H28" s="20">
        <f>G28/$G$21</f>
        <v>7.0759625390218517E-2</v>
      </c>
    </row>
    <row r="29" spans="2:8" ht="31.5" x14ac:dyDescent="0.25">
      <c r="B29" s="14" t="s">
        <v>14</v>
      </c>
      <c r="C29" s="15">
        <v>11</v>
      </c>
      <c r="D29" s="15">
        <v>15</v>
      </c>
      <c r="E29" s="15">
        <v>12</v>
      </c>
      <c r="F29" s="15">
        <v>14</v>
      </c>
      <c r="G29" s="15">
        <f t="shared" si="1"/>
        <v>13</v>
      </c>
      <c r="H29" s="20">
        <f t="shared" si="2"/>
        <v>5.4110301768990635E-2</v>
      </c>
    </row>
    <row r="30" spans="2:8" ht="31.5" x14ac:dyDescent="0.25">
      <c r="B30" s="14" t="s">
        <v>10</v>
      </c>
      <c r="C30" s="15">
        <v>11</v>
      </c>
      <c r="D30" s="15">
        <v>13</v>
      </c>
      <c r="E30" s="15">
        <v>10</v>
      </c>
      <c r="F30" s="15">
        <v>14</v>
      </c>
      <c r="G30" s="15">
        <f t="shared" si="1"/>
        <v>12</v>
      </c>
      <c r="H30" s="20">
        <f t="shared" si="2"/>
        <v>4.9947970863683661E-2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6800-3C86-445D-8442-C47F9FF7D1A5}">
  <dimension ref="B1:H27"/>
  <sheetViews>
    <sheetView tabSelected="1" workbookViewId="0">
      <selection activeCell="E11" sqref="E11"/>
    </sheetView>
  </sheetViews>
  <sheetFormatPr baseColWidth="10" defaultRowHeight="15" x14ac:dyDescent="0.25"/>
  <cols>
    <col min="2" max="2" width="20.85546875" customWidth="1"/>
    <col min="3" max="3" width="23.28515625" customWidth="1"/>
    <col min="4" max="4" width="17.5703125" customWidth="1"/>
    <col min="5" max="5" width="25" style="18" customWidth="1"/>
    <col min="6" max="6" width="16.28515625" style="31" customWidth="1"/>
    <col min="12" max="12" width="14.28515625" customWidth="1"/>
  </cols>
  <sheetData>
    <row r="1" spans="2:8" ht="15.75" thickBot="1" x14ac:dyDescent="0.3"/>
    <row r="2" spans="2:8" ht="15.75" thickBot="1" x14ac:dyDescent="0.3">
      <c r="B2" s="41" t="s">
        <v>48</v>
      </c>
      <c r="C2" s="44"/>
      <c r="D2" s="44"/>
      <c r="E2" s="44"/>
      <c r="F2" s="45"/>
    </row>
    <row r="3" spans="2:8" ht="48" thickBot="1" x14ac:dyDescent="0.3">
      <c r="B3" s="32" t="s">
        <v>19</v>
      </c>
      <c r="C3" s="33" t="s">
        <v>37</v>
      </c>
      <c r="D3" s="33" t="s">
        <v>40</v>
      </c>
      <c r="E3" s="33" t="s">
        <v>38</v>
      </c>
      <c r="F3" s="33" t="s">
        <v>39</v>
      </c>
    </row>
    <row r="4" spans="2:8" ht="19.5" thickBot="1" x14ac:dyDescent="0.3">
      <c r="B4" s="34" t="s">
        <v>27</v>
      </c>
      <c r="C4" s="35">
        <v>240</v>
      </c>
      <c r="D4" s="35" t="s">
        <v>28</v>
      </c>
      <c r="E4" s="39">
        <v>1</v>
      </c>
      <c r="F4" s="38">
        <f>(C4/$C$4)</f>
        <v>1</v>
      </c>
      <c r="H4" s="30"/>
    </row>
    <row r="5" spans="2:8" ht="19.5" thickBot="1" x14ac:dyDescent="0.3">
      <c r="B5" s="34" t="s">
        <v>8</v>
      </c>
      <c r="C5" s="35">
        <v>12</v>
      </c>
      <c r="D5" s="35" t="s">
        <v>29</v>
      </c>
      <c r="E5" s="37">
        <f>C5/$C$4</f>
        <v>0.05</v>
      </c>
      <c r="F5" s="38">
        <f>$F$4-E5</f>
        <v>0.95</v>
      </c>
    </row>
    <row r="6" spans="2:8" ht="19.5" thickBot="1" x14ac:dyDescent="0.3">
      <c r="B6" s="34" t="s">
        <v>15</v>
      </c>
      <c r="C6" s="36">
        <v>16</v>
      </c>
      <c r="D6" s="35" t="s">
        <v>30</v>
      </c>
      <c r="E6" s="37">
        <f t="shared" ref="E6:E13" si="0">C6/$C$4</f>
        <v>6.6666666666666666E-2</v>
      </c>
      <c r="F6" s="38">
        <f t="shared" ref="F6:F13" si="1">$F$4-E6</f>
        <v>0.93333333333333335</v>
      </c>
    </row>
    <row r="7" spans="2:8" ht="19.5" thickBot="1" x14ac:dyDescent="0.3">
      <c r="B7" s="34" t="s">
        <v>16</v>
      </c>
      <c r="C7" s="35">
        <v>19</v>
      </c>
      <c r="D7" s="35" t="s">
        <v>31</v>
      </c>
      <c r="E7" s="37">
        <f t="shared" si="0"/>
        <v>7.9166666666666663E-2</v>
      </c>
      <c r="F7" s="38">
        <f t="shared" si="1"/>
        <v>0.92083333333333339</v>
      </c>
    </row>
    <row r="8" spans="2:8" ht="19.5" thickBot="1" x14ac:dyDescent="0.3">
      <c r="B8" s="34" t="s">
        <v>11</v>
      </c>
      <c r="C8" s="35">
        <v>11</v>
      </c>
      <c r="D8" s="35" t="s">
        <v>32</v>
      </c>
      <c r="E8" s="37">
        <f t="shared" si="0"/>
        <v>4.583333333333333E-2</v>
      </c>
      <c r="F8" s="38">
        <f t="shared" si="1"/>
        <v>0.95416666666666672</v>
      </c>
    </row>
    <row r="9" spans="2:8" ht="19.5" thickBot="1" x14ac:dyDescent="0.3">
      <c r="B9" s="34" t="s">
        <v>9</v>
      </c>
      <c r="C9" s="35">
        <v>6</v>
      </c>
      <c r="D9" s="35" t="s">
        <v>33</v>
      </c>
      <c r="E9" s="37">
        <f t="shared" si="0"/>
        <v>2.5000000000000001E-2</v>
      </c>
      <c r="F9" s="38">
        <f t="shared" si="1"/>
        <v>0.97499999999999998</v>
      </c>
    </row>
    <row r="10" spans="2:8" ht="19.5" thickBot="1" x14ac:dyDescent="0.3">
      <c r="B10" s="34" t="s">
        <v>12</v>
      </c>
      <c r="C10" s="35">
        <v>15</v>
      </c>
      <c r="D10" s="35" t="s">
        <v>34</v>
      </c>
      <c r="E10" s="37">
        <f t="shared" si="0"/>
        <v>6.25E-2</v>
      </c>
      <c r="F10" s="38">
        <f t="shared" si="1"/>
        <v>0.9375</v>
      </c>
    </row>
    <row r="11" spans="2:8" ht="19.5" thickBot="1" x14ac:dyDescent="0.3">
      <c r="B11" s="34" t="s">
        <v>13</v>
      </c>
      <c r="C11" s="35">
        <v>17</v>
      </c>
      <c r="D11" s="35" t="s">
        <v>35</v>
      </c>
      <c r="E11" s="37">
        <f t="shared" si="0"/>
        <v>7.0833333333333331E-2</v>
      </c>
      <c r="F11" s="38">
        <f t="shared" si="1"/>
        <v>0.9291666666666667</v>
      </c>
      <c r="H11" s="18"/>
    </row>
    <row r="12" spans="2:8" ht="19.5" thickBot="1" x14ac:dyDescent="0.3">
      <c r="B12" s="34" t="s">
        <v>14</v>
      </c>
      <c r="C12" s="35">
        <v>13</v>
      </c>
      <c r="D12" s="35" t="s">
        <v>36</v>
      </c>
      <c r="E12" s="37">
        <f t="shared" si="0"/>
        <v>5.4166666666666669E-2</v>
      </c>
      <c r="F12" s="38">
        <f t="shared" si="1"/>
        <v>0.9458333333333333</v>
      </c>
    </row>
    <row r="13" spans="2:8" ht="19.5" thickBot="1" x14ac:dyDescent="0.3">
      <c r="B13" s="34" t="s">
        <v>10</v>
      </c>
      <c r="C13" s="35">
        <v>12</v>
      </c>
      <c r="D13" s="35" t="s">
        <v>29</v>
      </c>
      <c r="E13" s="40">
        <f t="shared" si="0"/>
        <v>0.05</v>
      </c>
      <c r="F13" s="38">
        <f t="shared" si="1"/>
        <v>0.95</v>
      </c>
    </row>
    <row r="15" spans="2:8" ht="15.75" thickBot="1" x14ac:dyDescent="0.3"/>
    <row r="16" spans="2:8" ht="15.75" thickBot="1" x14ac:dyDescent="0.3">
      <c r="B16" s="41" t="s">
        <v>49</v>
      </c>
      <c r="C16" s="42"/>
      <c r="D16" s="42"/>
      <c r="E16" s="42"/>
      <c r="F16" s="43"/>
    </row>
    <row r="17" spans="2:6" ht="48" thickBot="1" x14ac:dyDescent="0.3">
      <c r="B17" s="32" t="s">
        <v>18</v>
      </c>
      <c r="C17" s="33" t="s">
        <v>41</v>
      </c>
      <c r="D17" s="33" t="s">
        <v>40</v>
      </c>
      <c r="E17" s="33" t="s">
        <v>42</v>
      </c>
      <c r="F17" s="33" t="s">
        <v>43</v>
      </c>
    </row>
    <row r="18" spans="2:6" ht="19.5" thickBot="1" x14ac:dyDescent="0.3">
      <c r="B18" s="34" t="s">
        <v>27</v>
      </c>
      <c r="C18" s="35">
        <v>235</v>
      </c>
      <c r="D18" s="35" t="s">
        <v>44</v>
      </c>
      <c r="E18" s="39">
        <v>1</v>
      </c>
      <c r="F18" s="38">
        <v>1</v>
      </c>
    </row>
    <row r="19" spans="2:6" ht="19.5" thickBot="1" x14ac:dyDescent="0.3">
      <c r="B19" s="34" t="s">
        <v>8</v>
      </c>
      <c r="C19" s="35">
        <v>10</v>
      </c>
      <c r="D19" s="35" t="s">
        <v>45</v>
      </c>
      <c r="E19" s="37">
        <f>C19/$C$4</f>
        <v>4.1666666666666664E-2</v>
      </c>
      <c r="F19" s="38">
        <f>$E$18-E19</f>
        <v>0.95833333333333337</v>
      </c>
    </row>
    <row r="20" spans="2:6" ht="19.5" thickBot="1" x14ac:dyDescent="0.3">
      <c r="B20" s="34" t="s">
        <v>15</v>
      </c>
      <c r="C20" s="36">
        <v>12</v>
      </c>
      <c r="D20" s="35" t="s">
        <v>29</v>
      </c>
      <c r="E20" s="37">
        <f>C20/$C$4</f>
        <v>0.05</v>
      </c>
      <c r="F20" s="38">
        <f t="shared" ref="F20:F27" si="2">$E$18-E20</f>
        <v>0.95</v>
      </c>
    </row>
    <row r="21" spans="2:6" ht="19.5" thickBot="1" x14ac:dyDescent="0.3">
      <c r="B21" s="34" t="s">
        <v>16</v>
      </c>
      <c r="C21" s="35">
        <v>15</v>
      </c>
      <c r="D21" s="35" t="s">
        <v>34</v>
      </c>
      <c r="E21" s="37">
        <f>C21/$C$4</f>
        <v>6.25E-2</v>
      </c>
      <c r="F21" s="38">
        <f t="shared" si="2"/>
        <v>0.9375</v>
      </c>
    </row>
    <row r="22" spans="2:6" ht="19.5" thickBot="1" x14ac:dyDescent="0.3">
      <c r="B22" s="34" t="s">
        <v>11</v>
      </c>
      <c r="C22" s="35">
        <v>12</v>
      </c>
      <c r="D22" s="35" t="s">
        <v>29</v>
      </c>
      <c r="E22" s="37">
        <f t="shared" ref="E22:E27" si="3">C22/$C$4</f>
        <v>0.05</v>
      </c>
      <c r="F22" s="38">
        <f t="shared" si="2"/>
        <v>0.95</v>
      </c>
    </row>
    <row r="23" spans="2:6" ht="19.5" thickBot="1" x14ac:dyDescent="0.3">
      <c r="B23" s="34" t="s">
        <v>9</v>
      </c>
      <c r="C23" s="35">
        <v>7</v>
      </c>
      <c r="D23" s="35" t="s">
        <v>46</v>
      </c>
      <c r="E23" s="37">
        <f t="shared" si="3"/>
        <v>2.9166666666666667E-2</v>
      </c>
      <c r="F23" s="38">
        <f t="shared" si="2"/>
        <v>0.97083333333333333</v>
      </c>
    </row>
    <row r="24" spans="2:6" ht="19.5" thickBot="1" x14ac:dyDescent="0.3">
      <c r="B24" s="34" t="s">
        <v>12</v>
      </c>
      <c r="C24" s="35">
        <v>14</v>
      </c>
      <c r="D24" s="35" t="s">
        <v>47</v>
      </c>
      <c r="E24" s="37">
        <f t="shared" si="3"/>
        <v>5.8333333333333334E-2</v>
      </c>
      <c r="F24" s="38">
        <f t="shared" si="2"/>
        <v>0.94166666666666665</v>
      </c>
    </row>
    <row r="25" spans="2:6" ht="19.5" thickBot="1" x14ac:dyDescent="0.3">
      <c r="B25" s="34" t="s">
        <v>13</v>
      </c>
      <c r="C25" s="35">
        <v>17</v>
      </c>
      <c r="D25" s="35" t="s">
        <v>35</v>
      </c>
      <c r="E25" s="37">
        <f t="shared" si="3"/>
        <v>7.0833333333333331E-2</v>
      </c>
      <c r="F25" s="38">
        <f t="shared" si="2"/>
        <v>0.9291666666666667</v>
      </c>
    </row>
    <row r="26" spans="2:6" ht="19.5" thickBot="1" x14ac:dyDescent="0.3">
      <c r="B26" s="34" t="s">
        <v>14</v>
      </c>
      <c r="C26" s="35">
        <v>14</v>
      </c>
      <c r="D26" s="35" t="s">
        <v>47</v>
      </c>
      <c r="E26" s="37">
        <f t="shared" si="3"/>
        <v>5.8333333333333334E-2</v>
      </c>
      <c r="F26" s="38">
        <f t="shared" si="2"/>
        <v>0.94166666666666665</v>
      </c>
    </row>
    <row r="27" spans="2:6" ht="19.5" thickBot="1" x14ac:dyDescent="0.3">
      <c r="B27" s="34" t="s">
        <v>10</v>
      </c>
      <c r="C27" s="35">
        <v>13</v>
      </c>
      <c r="D27" s="35" t="s">
        <v>36</v>
      </c>
      <c r="E27" s="40">
        <f t="shared" si="3"/>
        <v>5.4166666666666669E-2</v>
      </c>
      <c r="F27" s="38">
        <f t="shared" si="2"/>
        <v>0.9458333333333333</v>
      </c>
    </row>
  </sheetData>
  <mergeCells count="2">
    <mergeCell ref="B16:F16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Recuento E. coli</vt:lpstr>
      <vt:lpstr>Recuento Salmonella</vt:lpstr>
      <vt:lpstr>Hoja8</vt:lpstr>
      <vt:lpstr>Resultados de Inactivacion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LENOVO</cp:lastModifiedBy>
  <dcterms:created xsi:type="dcterms:W3CDTF">2022-09-08T03:14:15Z</dcterms:created>
  <dcterms:modified xsi:type="dcterms:W3CDTF">2023-08-19T21:11:34Z</dcterms:modified>
</cp:coreProperties>
</file>